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c2aae6d77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-cadastros" sheetId="1" r:id="R847b33e6cb7644d3"/>
    <x:sheet xmlns:r="http://schemas.openxmlformats.org/officeDocument/2006/relationships" name="Pendencias" sheetId="2" r:id="R7908ffde48e84238"/>
    <x:sheet xmlns:r="http://schemas.openxmlformats.org/officeDocument/2006/relationships" name="Eventos futuros" sheetId="3" r:id="Ra48bfaff89fb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5">
    <x:font>
      <x:sz val="11"/>
      <x:name val="Carlito"/>
    </x:font>
    <x:font>
      <x:sz val="10"/>
      <x:color rgb="FF243246"/>
      <x:name val="Arial"/>
    </x:font>
    <x:font>
      <x:b/>
      <x:sz val="15"/>
      <x:color rgb="FF243246"/>
      <x:name val="Arial"/>
    </x:font>
    <x:font>
      <x:b/>
      <x:sz val="10"/>
      <x:color rgb="FFFFFFFF"/>
      <x:name val="Arial"/>
    </x:font>
    <x:font>
      <x:b/>
      <x:sz val="10"/>
      <x:color rgb="FF2432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C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785000"/>
      </x:font>
      <x:fill>
        <x:patternFill patternType="solid">
          <x:bgColor rgb="FFFFF2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ef15f338141c2" /><Relationship Type="http://schemas.openxmlformats.org/officeDocument/2006/relationships/theme" Target="/xl/theme/theme1.xml" Id="R82ce8a26e9504510" /><Relationship Type="http://schemas.openxmlformats.org/officeDocument/2006/relationships/sharedStrings" Target="/xl/sharedStrings.xml" Id="R7998fff83d76422e" /><Relationship Type="http://schemas.openxmlformats.org/officeDocument/2006/relationships/worksheet" Target="/xl/worksheets/sheet1.xml" Id="R847b33e6cb7644d3" /><Relationship Type="http://schemas.openxmlformats.org/officeDocument/2006/relationships/worksheet" Target="/xl/worksheets/sheet2.xml" Id="R7908ffde48e84238" /><Relationship Type="http://schemas.openxmlformats.org/officeDocument/2006/relationships/worksheet" Target="/xl/worksheets/sheet3.xml" Id="Ra48bfaff89fb459a" /></Relationships>
</file>

<file path=xl/tables/table1.xml><?xml version="1.0" encoding="utf-8"?>
<x:table xmlns:x="http://schemas.openxmlformats.org/spreadsheetml/2006/main" id="1" name="PrecadastrosTable" displayName="PrecadastrosTable" ref="A6:Q53" headerRowCount="1" totalsRowCount="0" totalsRowShown="0">
  <x:tableColumns count="17">
    <x:tableColumn id="1" name="Empresa"/>
    <x:tableColumn id="2" name="ID Business"/>
    <x:tableColumn id="3" name="Importação"/>
    <x:tableColumn id="4" name="CNPJ titular"/>
    <x:tableColumn id="5" name="E-mail público"/>
    <x:tableColumn id="6" name="Contato público"/>
    <x:tableColumn id="7" name="Telefone público"/>
    <x:tableColumn id="8" name="CNPJ pesquisado"/>
    <x:tableColumn id="9" name="Situação pesquisada"/>
    <x:tableColumn id="10" name="Razão social pesquisada"/>
    <x:tableColumn id="11" name="Endereço pesquisado"/>
    <x:tableColumn id="12" name="Cidade / UF"/>
    <x:tableColumn id="13" name="Evidência de organização"/>
    <x:tableColumn id="14" name="Fonte de organização"/>
    <x:tableColumn id="15" name="Fonte ABRACEO"/>
    <x:tableColumn id="16" name="Logotipo"/>
    <x:tableColumn id="17" name="Conta Busin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enciasTable" displayName="PendenciasTable" ref="A6:H14" headerRowCount="1" totalsRowCount="0" totalsRowShown="0">
  <x:tableColumns count="8">
    <x:tableColumn id="1" name="Empresa"/>
    <x:tableColumn id="2" name="Motivo / próxima confirmação"/>
    <x:tableColumn id="3" name="Contato público"/>
    <x:tableColumn id="4" name="E-mail público"/>
    <x:tableColumn id="5" name="CNPJ pesquisado"/>
    <x:tableColumn id="6" name="Situação pesquisada"/>
    <x:tableColumn id="7" name="Fonte consultada"/>
    <x:tableColumn id="8" name="Fonte ABRACE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osfuturosTable" displayName="EventosfuturosTable" ref="A6:I90" headerRowCount="1" totalsRowCount="0" totalsRowShown="0">
  <x:tableColumns count="9">
    <x:tableColumn id="1" name="Empresa"/>
    <x:tableColumn id="2" name="Evento"/>
    <x:tableColumn id="3" name="Data inicial"/>
    <x:tableColumn id="4" name="ID evento"/>
    <x:tableColumn id="5" name="Revisão"/>
    <x:tableColumn id="6" name="Vínculo no Business"/>
    <x:tableColumn id="7" name="Motivo"/>
    <x:tableColumn id="8" name="Fonte de confirmação"/>
    <x:tableColumn id="9" name="Evento Busin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0f1ad6a4b948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e1e237e0f24d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ed8399851f4c46" /></Relationships>
</file>

<file path=xl/worksheets/sheet1.xml><?xml version="1.0" encoding="utf-8"?>
<x:worksheet xmlns:x="http://schemas.openxmlformats.org/spreadsheetml/2006/main">
  <x:sheetPr>
    <x:tabColor rgb="FF253C59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2" hidden="0" customWidth="1"/>
    <x:col min="2" max="2" width="12" hidden="0" customWidth="1"/>
    <x:col min="3" max="3" width="28" hidden="0" customWidth="1"/>
    <x:col min="4" max="4" width="17" hidden="0" customWidth="1"/>
    <x:col min="5" max="5" width="35" hidden="0" customWidth="1"/>
    <x:col min="6" max="6" width="28" hidden="0" customWidth="1"/>
    <x:col min="7" max="7" width="28" hidden="0" customWidth="1"/>
    <x:col min="8" max="8" width="22" hidden="0" customWidth="1"/>
    <x:col min="9" max="9" width="20" hidden="0" customWidth="1"/>
    <x:col min="10" max="10" width="42" hidden="0" customWidth="1"/>
    <x:col min="11" max="11" width="45" hidden="0" customWidth="1"/>
    <x:col min="12" max="12" width="28" hidden="0" customWidth="1"/>
    <x:col min="13" max="13" width="70" hidden="0" customWidth="1"/>
    <x:col min="14" max="14" width="78" hidden="0" customWidth="1"/>
    <x:col min="15" max="15" width="60" hidden="0" customWidth="1"/>
    <x:col min="16" max="16" width="78" hidden="0" customWidth="1"/>
    <x:col min="17" max="17" width="7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ABRACEO — revisão dos 55 restantes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 t="str">
        <x:v>Revisão em 11/10/2026. Dados pesquisados do titular ainda dependem de confirmação.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 t="str">
        <x:v>Organizadores confirmados</x:v>
      </x:c>
      <x:c r="B4" s="10" t="n">
        <x:f>COUNTA(A7:A53)</x:f>
        <x:v>47</x:v>
      </x:c>
      <x:c r="C4" s="1"/>
      <x:c r="D4" s="1" t="str">
        <x:v>Criados no Business</x:v>
      </x:c>
      <x:c r="E4" s="10" t="n">
        <x:f>COUNTIFS(C7:C53,"Criado")</x:f>
        <x:v>47</x:v>
      </x:c>
      <x:c r="F4" s="1" t="str">
        <x:v>Não importados</x:v>
      </x:c>
      <x:c r="G4" s="10" t="n">
        <x:f>COUNTIFS(C7:C53,"Preparado; aguarda migração")</x:f>
        <x:v>0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32" customHeight="1">
      <x:c r="A6" s="7" t="str">
        <x:v>Empresa</x:v>
      </x:c>
      <x:c r="B6" s="7" t="str">
        <x:v>ID Business</x:v>
      </x:c>
      <x:c r="C6" s="7" t="str">
        <x:v>Importação</x:v>
      </x:c>
      <x:c r="D6" s="7" t="str">
        <x:v>CNPJ titular</x:v>
      </x:c>
      <x:c r="E6" s="7" t="str">
        <x:v>E-mail público</x:v>
      </x:c>
      <x:c r="F6" s="7" t="str">
        <x:v>Contato público</x:v>
      </x:c>
      <x:c r="G6" s="7" t="str">
        <x:v>Telefone público</x:v>
      </x:c>
      <x:c r="H6" s="7" t="str">
        <x:v>CNPJ pesquisado</x:v>
      </x:c>
      <x:c r="I6" s="7" t="str">
        <x:v>Situação pesquisada</x:v>
      </x:c>
      <x:c r="J6" s="7" t="str">
        <x:v>Razão social pesquisada</x:v>
      </x:c>
      <x:c r="K6" s="7" t="str">
        <x:v>Endereço pesquisado</x:v>
      </x:c>
      <x:c r="L6" s="7" t="str">
        <x:v>Cidade / UF</x:v>
      </x:c>
      <x:c r="M6" s="7" t="str">
        <x:v>Evidência de organização</x:v>
      </x:c>
      <x:c r="N6" s="7" t="str">
        <x:v>Fonte de organização</x:v>
      </x:c>
      <x:c r="O6" s="7" t="str">
        <x:v>Fonte ABRACEO</x:v>
      </x:c>
      <x:c r="P6" s="7" t="str">
        <x:v>Logotipo</x:v>
      </x:c>
      <x:c r="Q6" s="7" t="str">
        <x:v>Conta Business</x:v>
      </x:c>
    </x:row>
    <x:row r="7" ht="88" customHeight="1">
      <x:c r="A7" s="4" t="str">
        <x:v>Agência VQV eventos</x:v>
      </x:c>
      <x:c r="B7" s="4" t="str">
        <x:v>64</x:v>
      </x:c>
      <x:c r="C7" s="4" t="str">
        <x:v>Criado</x:v>
      </x:c>
      <x:c r="D7" s="4" t="str">
        <x:v>Pendente</x:v>
      </x:c>
      <x:c r="E7" s="4" t="str">
        <x:v>gerencia@agenciavqv.com.br</x:v>
      </x:c>
      <x:c r="F7" s="4" t="str">
        <x:v>Tatsuro shikamori</x:v>
      </x:c>
      <x:c r="G7" s="4" t="str">
        <x:v>44 9132-1600</x:v>
      </x:c>
      <x:c r="H7" s="8" t="str">
        <x:v>15831793000168</x:v>
      </x:c>
      <x:c r="I7" s="4" t="str">
        <x:v>ATIVA</x:v>
      </x:c>
      <x:c r="J7" s="4" t="str">
        <x:v>AGENCIA VQV DE PUBLICIDADE E PROPAGANDA LTDA</x:v>
      </x:c>
      <x:c r="K7" s="4" t="str">
        <x:v>RUA PASTOR ANISIO FRANCISCO DA SILVA 731 FUNDOS;</x:v>
      </x:c>
      <x:c r="L7" s="4" t="str">
        <x:v>Maringa / PR</x:v>
      </x:c>
      <x:c r="M7" s="4" t="str">
        <x:v>Instituto de turismo de Maringá identifica a agência como organizadora de eventos. Não foi confirmado evento esportivo futuro.</x:v>
      </x:c>
      <x:c r="N7" s="4" t="str">
        <x:v>https://visitmaringa.com.br/ova_sev/agencia-vqv/</x:v>
      </x:c>
      <x:c r="O7" s="4" t="str">
        <x:v>https://abraceo.com.br/filiado/agencia-vqv-eventos/</x:v>
      </x:c>
      <x:c r="P7" s="4" t="str">
        <x:v>https://business.roadrunners.run/assets/contas/abraceo/agencia-vqv-eventos.jpg</x:v>
      </x:c>
      <x:c r="Q7" s="4" t="str">
        <x:v>https://business.roadrunners.run/administracao/contas/?conta_id=64&amp;tab=precadastro</x:v>
      </x:c>
    </x:row>
    <x:row r="8" ht="88" customHeight="1">
      <x:c r="A8" s="4" t="str">
        <x:v>APUANA ESPORTES</x:v>
      </x:c>
      <x:c r="B8" s="4" t="str">
        <x:v>65</x:v>
      </x:c>
      <x:c r="C8" s="4" t="str">
        <x:v>Criado</x:v>
      </x:c>
      <x:c r="D8" s="4" t="str">
        <x:v>Pendente</x:v>
      </x:c>
      <x:c r="E8" s="4" t="str">
        <x:v>ricardo@apuanaesportes.com.br</x:v>
      </x:c>
      <x:c r="F8" s="4" t="str">
        <x:v>RICARDO MENDES</x:v>
      </x:c>
      <x:c r="G8" s="4" t="str">
        <x:v>(34) 9 9172-0522</x:v>
      </x:c>
      <x:c r="H8" s="8" t="str">
        <x:v>18819767000102</x:v>
      </x:c>
      <x:c r="I8" s="4" t="str">
        <x:v>ATIVA</x:v>
      </x:c>
      <x:c r="J8" s="4" t="str">
        <x:v>APUANA MARKETING ESPORTIVO LTDA</x:v>
      </x:c>
      <x:c r="K8" s="4" t="str">
        <x:v>RUA ANISIO ALVES 105</x:v>
      </x:c>
      <x:c r="L8" s="4" t="str">
        <x:v>Uberlândia / MG</x:v>
      </x:c>
      <x:c r="M8" s="4" t="str">
        <x:v>Site institucional apresenta organização de corridas e portfólio próprio, incluindo Circuito Uberlândia Corre.</x:v>
      </x:c>
      <x:c r="N8" s="4" t="str">
        <x:v>https://www.apuanaesportes.com.br/</x:v>
      </x:c>
      <x:c r="O8" s="4" t="str">
        <x:v>https://abraceo.com.br/filiado/apuana-esportes/</x:v>
      </x:c>
      <x:c r="P8" s="4" t="str">
        <x:v>https://business.roadrunners.run/assets/contas/abraceo/apuana-esportes.jpg</x:v>
      </x:c>
      <x:c r="Q8" s="4" t="str">
        <x:v>https://business.roadrunners.run/administracao/contas/?conta_id=65&amp;tab=precadastro</x:v>
      </x:c>
    </x:row>
    <x:row r="9" ht="88" customHeight="1">
      <x:c r="A9" s="4" t="str">
        <x:v>AR2 Eventos</x:v>
      </x:c>
      <x:c r="B9" s="4" t="str">
        <x:v>66</x:v>
      </x:c>
      <x:c r="C9" s="4" t="str">
        <x:v>Criado</x:v>
      </x:c>
      <x:c r="D9" s="4" t="str">
        <x:v>Pendente</x:v>
      </x:c>
      <x:c r="E9" s="4" t="str">
        <x:v>ar2eventoscontato@gmail.com</x:v>
      </x:c>
      <x:c r="F9" s="4" t="str">
        <x:v>Aghatta Rosa Alves Alencar Meira/ Robson Alencar Meira</x:v>
      </x:c>
      <x:c r="G9" s="4" t="str">
        <x:v>21 983917405</x:v>
      </x:c>
      <x:c r="H9" s="8" t="str">
        <x:v>44184762000160</x:v>
      </x:c>
      <x:c r="I9" s="4" t="str">
        <x:v>ATIVA</x:v>
      </x:c>
      <x:c r="J9" s="4" t="str">
        <x:v>AR2 EVENTOS ESPORTIVOS E AFINS LTDA</x:v>
      </x:c>
      <x:c r="K9" s="4" t="str">
        <x:v>RUA JULIO FRAGOSO 20 APT 204</x:v>
      </x:c>
      <x:c r="L9" s="4" t="str">
        <x:v>Rio de janeiro / RJ</x:v>
      </x:c>
      <x:c r="M9" s="4" t="str">
        <x:v>Regulamentos identificam AR2 como responsável pelas provas e suas decisões operacionais.</x:v>
      </x:c>
      <x:c r="N9" s="4" t="str">
        <x:v>https://esportecorrida.com.br/upload_diversos/20_08_2026_19_14_09.pdf</x:v>
      </x:c>
      <x:c r="O9" s="4" t="str">
        <x:v>https://abraceo.com.br/filiado/ar2-eventos/</x:v>
      </x:c>
      <x:c r="P9" s="4" t="str">
        <x:v>https://business.roadrunners.run/assets/contas/abraceo/ar2-eventos.png</x:v>
      </x:c>
      <x:c r="Q9" s="4" t="str">
        <x:v>https://business.roadrunners.run/administracao/contas/?conta_id=66&amp;tab=precadastro</x:v>
      </x:c>
    </x:row>
    <x:row r="10" ht="88" customHeight="1">
      <x:c r="A10" s="4" t="str">
        <x:v>Assessorar Produções Festivas</x:v>
      </x:c>
      <x:c r="B10" s="4" t="str">
        <x:v>67</x:v>
      </x:c>
      <x:c r="C10" s="4" t="str">
        <x:v>Criado</x:v>
      </x:c>
      <x:c r="D10" s="4" t="str">
        <x:v>Pendente</x:v>
      </x:c>
      <x:c r="E10" s="4" t="str">
        <x:v>assessorarproducoesfestivas@gmail.com</x:v>
      </x:c>
      <x:c r="F10" s="4" t="str">
        <x:v>Edson de Jesus</x:v>
      </x:c>
      <x:c r="G10" s="4" t="str">
        <x:v>75-998883030</x:v>
      </x:c>
      <x:c r="H10" s="8" t="str">
        <x:v>26744388000129</x:v>
      </x:c>
      <x:c r="I10" s="4" t="str">
        <x:v>ATIVA</x:v>
      </x:c>
      <x:c r="J10" s="4" t="str">
        <x:v>ASSESSORAR PRODUCOES E SERVICOS LTDA</x:v>
      </x:c>
      <x:c r="K10" s="4" t="str">
        <x:v>TRAVESSA ADALBERTO MACEDO 01</x:v>
      </x:c>
      <x:c r="L10" s="4" t="str">
        <x:v>Alagoinhas / BA</x:v>
      </x:c>
      <x:c r="M10" s="4" t="str">
        <x:v>Prefeitura de Alagoinhas confirma a Assessorar Produções como organizadora da Corrida da Água.</x:v>
      </x:c>
      <x:c r="N10" s="4" t="str">
        <x:v>https://www.alagoinhas.ba.gov.br/index.php/saae-e-prefeitura-realizam-1a-corrida-da-agua-e-encerram-programacao-do-dia-mundial-da-agua-em-alagoinhas/</x:v>
      </x:c>
      <x:c r="O10" s="4" t="str">
        <x:v>https://abraceo.com.br/filiado/assessorar-producoes-festivas/</x:v>
      </x:c>
      <x:c r="P10" s="4" t="str">
        <x:v>https://business.roadrunners.run/assets/contas/abraceo/assessorar-producoes-festivas.jpg</x:v>
      </x:c>
      <x:c r="Q10" s="4" t="str">
        <x:v>https://business.roadrunners.run/administracao/contas/?conta_id=67&amp;tab=precadastro</x:v>
      </x:c>
    </x:row>
    <x:row r="11" ht="88" customHeight="1">
      <x:c r="A11" s="4" t="str">
        <x:v>Atra-e Eventos</x:v>
      </x:c>
      <x:c r="B11" s="4" t="str">
        <x:v>68</x:v>
      </x:c>
      <x:c r="C11" s="4" t="str">
        <x:v>Criado</x:v>
      </x:c>
      <x:c r="D11" s="4" t="str">
        <x:v>Pendente</x:v>
      </x:c>
      <x:c r="E11" s="4" t="str">
        <x:v>claudiatavares@atraeeventos.com.br</x:v>
      </x:c>
      <x:c r="F11" s="4" t="str">
        <x:v>Claudia Tavares</x:v>
      </x:c>
      <x:c r="G11" s="4" t="str">
        <x:v>021-996086785</x:v>
      </x:c>
      <x:c r="H11" s="8" t="str">
        <x:v>64080968000158</x:v>
      </x:c>
      <x:c r="I11" s="4" t="str">
        <x:v>ATIVA</x:v>
      </x:c>
      <x:c r="J11" s="4" t="str">
        <x:v>ATRAE ASSESSORIA E EVENTOS ESPORTIVOS LTDA</x:v>
      </x:c>
      <x:c r="K11" s="4" t="str">
        <x:v>AVENIDA PRUDENTE DE MORAIS 5121</x:v>
      </x:c>
      <x:c r="L11" s="4" t="str">
        <x:v>Natal / RN</x:v>
      </x:c>
      <x:c r="M11" s="4" t="str">
        <x:v>Site oficial descreve organização de eventos esportivos e apresenta calendário de corridas.</x:v>
      </x:c>
      <x:c r="N11" s="4" t="str">
        <x:v>https://atraeeventos.com.br/</x:v>
      </x:c>
      <x:c r="O11" s="4" t="str">
        <x:v>https://abraceo.com.br/filiado/atra-e-eventos/</x:v>
      </x:c>
      <x:c r="P11" s="4" t="str">
        <x:v>https://business.roadrunners.run/assets/contas/abraceo/atra-e-eventos.jpg</x:v>
      </x:c>
      <x:c r="Q11" s="4" t="str">
        <x:v>https://business.roadrunners.run/administracao/contas/?conta_id=68&amp;tab=precadastro</x:v>
      </x:c>
    </x:row>
    <x:row r="12" ht="88" customHeight="1">
      <x:c r="A12" s="4" t="str">
        <x:v>Avatar</x:v>
      </x:c>
      <x:c r="B12" s="4" t="str">
        <x:v>69</x:v>
      </x:c>
      <x:c r="C12" s="4" t="str">
        <x:v>Criado</x:v>
      </x:c>
      <x:c r="D12" s="4" t="str">
        <x:v>Pendente</x:v>
      </x:c>
      <x:c r="E12" s="4" t="str">
        <x:v>avatar@avatarsports.com.br</x:v>
      </x:c>
      <x:c r="F12" s="4" t="str">
        <x:v>SYLVIO BITENCOURT</x:v>
      </x:c>
      <x:c r="G12" s="4" t="str">
        <x:v>(12) 3224-4800 (12) 9 9602-4556</x:v>
      </x:c>
      <x:c r="H12" s="8" t="str">
        <x:v>37768638000187</x:v>
      </x:c>
      <x:c r="I12" s="4" t="str">
        <x:v>ATIVA</x:v>
      </x:c>
      <x:c r="J12" s="4" t="str">
        <x:v>AVATAR SPORTS LTDA</x:v>
      </x:c>
      <x:c r="K12" s="4" t="str">
        <x:v>RUA TEOPOMPO DE VASCONCELOS 335 APT 163</x:v>
      </x:c>
      <x:c r="L12" s="4" t="str">
        <x:v>São José dos Campos / SP</x:v>
      </x:c>
      <x:c r="M12" s="4" t="str">
        <x:v>Reportagem sobre premiação identifica Avatar Sports como organizadora e Sylvio Bitencourt como responsável, compatível com ABRACEO.</x:v>
      </x:c>
      <x:c r="N12" s="4" t="str">
        <x:v>https://jogandojuntos.com.br/organizadora-de-corridas-de-rua-na-regiao-e-premiada/</x:v>
      </x:c>
      <x:c r="O12" s="4" t="str">
        <x:v>https://abraceo.com.br/filiado/avatar/</x:v>
      </x:c>
      <x:c r="P12" s="4" t="str">
        <x:v>https://business.roadrunners.run/assets/contas/abraceo/avatar.jpg</x:v>
      </x:c>
      <x:c r="Q12" s="4" t="str">
        <x:v>https://business.roadrunners.run/administracao/contas/?conta_id=69&amp;tab=precadastro</x:v>
      </x:c>
    </x:row>
    <x:row r="13" ht="88" customHeight="1">
      <x:c r="A13" s="4" t="str">
        <x:v>CAPA EVENTOS</x:v>
      </x:c>
      <x:c r="B13" s="4" t="str">
        <x:v>70</x:v>
      </x:c>
      <x:c r="C13" s="4" t="str">
        <x:v>Criado</x:v>
      </x:c>
      <x:c r="D13" s="4" t="str">
        <x:v>Pendente</x:v>
      </x:c>
      <x:c r="E13" s="4" t="str">
        <x:v>contato@capapromo.com.br</x:v>
      </x:c>
      <x:c r="F13" s="4" t="str">
        <x:v>GUILHERME PAOLIELO</x:v>
      </x:c>
      <x:c r="G13" s="4" t="str">
        <x:v>(43) 99113-3838</x:v>
      </x:c>
      <x:c r="H13" s="8" t="str">
        <x:v>17860554000161</x:v>
      </x:c>
      <x:c r="I13" s="4" t="str">
        <x:v>ATIVA</x:v>
      </x:c>
      <x:c r="J13" s="4" t="str">
        <x:v>PIAZZALUNGA EVENTOS ESPORTIVOS E ENTRETENIMENTO LTDA</x:v>
      </x:c>
      <x:c r="K13" s="4" t="str">
        <x:v>RUA MONTESE 163</x:v>
      </x:c>
      <x:c r="L13" s="4" t="str">
        <x:v>Londrina / PR</x:v>
      </x:c>
      <x:c r="M13" s="4" t="str">
        <x:v>Regulamento da Maratona de Londrina declara organização e realização da Capa Eventos.</x:v>
      </x:c>
      <x:c r="N13" s="4" t="str">
        <x:v>https://storagefileta.blob.core.windows.net/ticketagora/arquivos/evento/87777/a2d7aeb905174856ad3a0ba55d431fbd639198757732537724.pdf</x:v>
      </x:c>
      <x:c r="O13" s="4" t="str">
        <x:v>https://abraceo.com.br/filiado/capa-eventos/</x:v>
      </x:c>
      <x:c r="P13" s="4" t="str">
        <x:v>https://business.roadrunners.run/assets/contas/abraceo/capa-eventos.jpg</x:v>
      </x:c>
      <x:c r="Q13" s="4" t="str">
        <x:v>https://business.roadrunners.run/administracao/contas/?conta_id=70&amp;tab=precadastro</x:v>
      </x:c>
    </x:row>
    <x:row r="14" ht="88" customHeight="1">
      <x:c r="A14" s="4" t="str">
        <x:v>Chip Macapá</x:v>
      </x:c>
      <x:c r="B14" s="4" t="str">
        <x:v>71</x:v>
      </x:c>
      <x:c r="C14" s="4" t="str">
        <x:v>Criado</x:v>
      </x:c>
      <x:c r="D14" s="4" t="str">
        <x:v>Pendente</x:v>
      </x:c>
      <x:c r="E14" s="4" t="str">
        <x:v>contato@chipmacapa.com.br</x:v>
      </x:c>
      <x:c r="F14" s="4" t="str">
        <x:v>Harrison Carlos Duarte da Silva</x:v>
      </x:c>
      <x:c r="G14" s="4" t="str">
        <x:v>96 98811-1696</x:v>
      </x:c>
      <x:c r="H14" s="8" t="str">
        <x:v>44707491000180</x:v>
      </x:c>
      <x:c r="I14" s="4" t="str">
        <x:v>ATIVA</x:v>
      </x:c>
      <x:c r="J14" s="4" t="str">
        <x:v>H C D DA SILVA LTDA</x:v>
      </x:c>
      <x:c r="K14" s="4" t="str">
        <x:v>AVENIDA PRESIDENTE GETULIO VARGAS 2478 ANDAR 01 - ALTOS</x:v>
      </x:c>
      <x:c r="L14" s="4" t="str">
        <x:v>Macapá / AP</x:v>
      </x:c>
      <x:c r="M14" s="4" t="str">
        <x:v>Regulamento da Corrida do Comércio de Santana atribui responsabilidade de organização à CDL Santana e Chip Macapá. A atuação de cronometragem em outras provas não foi generalizada.</x:v>
      </x:c>
      <x:c r="N14" s="4" t="str">
        <x:v>https://storagefileta.blob.core.windows.net/ticketagora/arquivos/evento/88032/339e307f4972419d8921639cef6987cf639223026686858078.pdf</x:v>
      </x:c>
      <x:c r="O14" s="4" t="str">
        <x:v>https://abraceo.com.br/filiado/chip-macapa/</x:v>
      </x:c>
      <x:c r="P14" s="4" t="str">
        <x:v>https://business.roadrunners.run/assets/contas/abraceo/chip-macapa.png</x:v>
      </x:c>
      <x:c r="Q14" s="4" t="str">
        <x:v>https://business.roadrunners.run/administracao/contas/?conta_id=71&amp;tab=precadastro</x:v>
      </x:c>
    </x:row>
    <x:row r="15" ht="88" customHeight="1">
      <x:c r="A15" s="4" t="str">
        <x:v>CHL Eventos</x:v>
      </x:c>
      <x:c r="B15" s="4" t="str">
        <x:v>72</x:v>
      </x:c>
      <x:c r="C15" s="4" t="str">
        <x:v>Criado</x:v>
      </x:c>
      <x:c r="D15" s="4" t="str">
        <x:v>Pendente</x:v>
      </x:c>
      <x:c r="E15" s="4" t="str">
        <x:v>contato@chlesportes.com.br</x:v>
      </x:c>
      <x:c r="F15" s="4" t="str">
        <x:v>Leonardo Marinho / Anderson Cavalcante</x:v>
      </x:c>
      <x:c r="G15" s="4" t="str">
        <x:v>31 98213-0552 (Leonardo) / 31 99808-6576 (Anderson)</x:v>
      </x:c>
      <x:c r="H15" s="8" t="str">
        <x:v>63168040000167</x:v>
      </x:c>
      <x:c r="I15" s="4" t="str">
        <x:v>ATIVA</x:v>
      </x:c>
      <x:c r="J15" s="4" t="str">
        <x:v>CHL ORGANIZACAO DE EVENTOS LTDA</x:v>
      </x:c>
      <x:c r="K15" s="4" t="str">
        <x:v>RUA ITAPETINGA 1260</x:v>
      </x:c>
      <x:c r="L15" s="4" t="str">
        <x:v>Belo Horizonte / MG</x:v>
      </x:c>
      <x:c r="M15" s="4" t="str">
        <x:v>Site oficial descreve planejamento, produção e execução de corridas pela CHL.</x:v>
      </x:c>
      <x:c r="N15" s="4" t="str">
        <x:v>https://chlesportes.com.br/</x:v>
      </x:c>
      <x:c r="O15" s="4" t="str">
        <x:v>https://abraceo.com.br/filiado/chl-eventos/</x:v>
      </x:c>
      <x:c r="P15" s="4" t="str">
        <x:v>https://business.roadrunners.run/assets/contas/abraceo/chl-eventos.png</x:v>
      </x:c>
      <x:c r="Q15" s="4" t="str">
        <x:v>https://business.roadrunners.run/administracao/contas/?conta_id=72&amp;tab=precadastro</x:v>
      </x:c>
    </x:row>
    <x:row r="16" ht="88" customHeight="1">
      <x:c r="A16" s="4" t="str">
        <x:v>Cia de Eventos</x:v>
      </x:c>
      <x:c r="B16" s="4" t="str">
        <x:v>73</x:v>
      </x:c>
      <x:c r="C16" s="4" t="str">
        <x:v>Criado</x:v>
      </x:c>
      <x:c r="D16" s="4" t="str">
        <x:v>Pendente</x:v>
      </x:c>
      <x:c r="E16" s="4" t="str">
        <x:v>celio@ciadeeventos.com.br</x:v>
      </x:c>
      <x:c r="F16" s="4" t="str">
        <x:v>Celio Balieiro</x:v>
      </x:c>
      <x:c r="G16" s="4" t="str">
        <x:v>(11) 941003040</x:v>
      </x:c>
      <x:c r="H16" s="8" t="str">
        <x:v>21551821000196</x:v>
      </x:c>
      <x:c r="I16" s="4" t="str">
        <x:v>BAIXADA</x:v>
      </x:c>
      <x:c r="J16" s="4" t="str">
        <x:v>CBM-X - PROMOCOES E EVENTOS LTDA</x:v>
      </x:c>
      <x:c r="K16" s="4" t="str">
        <x:v>RUA BELA FLOR 205</x:v>
      </x:c>
      <x:c r="L16" s="4" t="str">
        <x:v>São Paulo / SP</x:v>
      </x:c>
      <x:c r="M16" s="4" t="str">
        <x:v>Página de inscrição da Ultramaratona Bertioga Maresias identifica Cia de Eventos como organizador e o mesmo contato público. Evidência histórica. CNPJ pesquisado baixado não usado como titular.</x:v>
      </x:c>
      <x:c r="N16" s="4" t="str">
        <x:v>https://www.ativo.com/calendario/eventos/america-do-sul/br/sp/bertioga/corrida-de-rua/36216/ultramaratona-de-revezamento-bertioga-maresias-1-etapa/</x:v>
      </x:c>
      <x:c r="O16" s="4" t="str">
        <x:v>https://abraceo.com.br/filiado/cia-de-eventos/</x:v>
      </x:c>
      <x:c r="P16" s="4" t="str">
        <x:v>https://business.roadrunners.run/assets/contas/abraceo/cia-de-eventos.jpg</x:v>
      </x:c>
      <x:c r="Q16" s="4" t="str">
        <x:v>https://business.roadrunners.run/administracao/contas/?conta_id=73&amp;tab=precadastro</x:v>
      </x:c>
    </x:row>
    <x:row r="17" ht="88" customHeight="1">
      <x:c r="A17" s="4" t="str">
        <x:v>Conceito Soluções Esportivas</x:v>
      </x:c>
      <x:c r="B17" s="4" t="str">
        <x:v>74</x:v>
      </x:c>
      <x:c r="C17" s="4" t="str">
        <x:v>Criado</x:v>
      </x:c>
      <x:c r="D17" s="4" t="str">
        <x:v>Pendente</x:v>
      </x:c>
      <x:c r="E17" s="4" t="str">
        <x:v>conceito-se@hotmail.com</x:v>
      </x:c>
      <x:c r="F17" s="4" t="str">
        <x:v>FLÁVIA LUANA ANDRADE SOUZA</x:v>
      </x:c>
      <x:c r="G17" s="4" t="str">
        <x:v>(79) 9 8126-4948 (79) 9 9981-5955</x:v>
      </x:c>
      <x:c r="H17" s="8" t="str">
        <x:v>48575309000136</x:v>
      </x:c>
      <x:c r="I17" s="4" t="str">
        <x:v>ATIVA</x:v>
      </x:c>
      <x:c r="J17" s="4" t="str">
        <x:v>CONCEITO SOLUCOES ESPORTIVAS LTDA</x:v>
      </x:c>
      <x:c r="K17" s="4" t="str">
        <x:v>RUA SEN ROLEMBERG 814</x:v>
      </x:c>
      <x:c r="L17" s="4" t="str">
        <x:v>Aracaju / SE</x:v>
      </x:c>
      <x:c r="M17" s="4" t="str">
        <x:v>Regulamento da Meia da Conceição atribui a organização à Conceito Soluções Esportivas.</x:v>
      </x:c>
      <x:c r="N17" s="4" t="str">
        <x:v>https://storagefileta.blob.core.windows.net/ticketagora/arquivos/evento/86544/5037dd76d2bc4731899b6d6770b2915b639104894282268735.pdf</x:v>
      </x:c>
      <x:c r="O17" s="4" t="str">
        <x:v>https://abraceo.com.br/filiado/conceito-solucoes-esportivas/</x:v>
      </x:c>
      <x:c r="P17" s="4" t="str">
        <x:v>https://business.roadrunners.run/assets/contas/abraceo/conceito-solucoes-esportivas.jpg</x:v>
      </x:c>
      <x:c r="Q17" s="4" t="str">
        <x:v>https://business.roadrunners.run/administracao/contas/?conta_id=74&amp;tab=precadastro</x:v>
      </x:c>
    </x:row>
    <x:row r="18" ht="88" customHeight="1">
      <x:c r="A18" s="4" t="str">
        <x:v>Corrente Running</x:v>
      </x:c>
      <x:c r="B18" s="4" t="str">
        <x:v>75</x:v>
      </x:c>
      <x:c r="C18" s="4" t="str">
        <x:v>Criado</x:v>
      </x:c>
      <x:c r="D18" s="4" t="str">
        <x:v>Pendente</x:v>
      </x:c>
      <x:c r="E18" s="4" t="str">
        <x:v>ricardo_corrente@hotmail.com</x:v>
      </x:c>
      <x:c r="F18" s="4" t="str">
        <x:v>Ricardo Costa Nascimento</x:v>
      </x:c>
      <x:c r="G18" s="4" t="str">
        <x:v>(91) 9 99445555</x:v>
      </x:c>
      <x:c r="H18" s="8" t="str">
        <x:v>34842351000161</x:v>
      </x:c>
      <x:c r="I18" s="4" t="str">
        <x:v>INAPTA</x:v>
      </x:c>
      <x:c r="J18" s="4" t="str">
        <x:v>J DA F MATOS CRONOMETRAGEM E EVENTOS ESPORTIVOS LTDA</x:v>
      </x:c>
      <x:c r="K18" s="4" t="str">
        <x:v>VILA SAO JUDAS TADEU 03 AV PEDRO MIRANDA</x:v>
      </x:c>
      <x:c r="L18" s="4" t="str">
        <x:v>Belém / PA</x:v>
      </x:c>
      <x:c r="M18" s="4" t="str">
        <x:v>Site oficial identifica organização de corridas em Belém pela Corrente Running. CNPJ pesquisado inapto não usado como titular.</x:v>
      </x:c>
      <x:c r="N18" s="4" t="str">
        <x:v>https://correnterunning.com.br/</x:v>
      </x:c>
      <x:c r="O18" s="4" t="str">
        <x:v>https://abraceo.com.br/filiado/corrente-running/</x:v>
      </x:c>
      <x:c r="P18" s="4" t="str">
        <x:v>https://business.roadrunners.run/assets/contas/abraceo/corrente-running.png</x:v>
      </x:c>
      <x:c r="Q18" s="4" t="str">
        <x:v>https://business.roadrunners.run/administracao/contas/?conta_id=75&amp;tab=precadastro</x:v>
      </x:c>
    </x:row>
    <x:row r="19" ht="88" customHeight="1">
      <x:c r="A19" s="4" t="str">
        <x:v>CPR Eventos e Produções</x:v>
      </x:c>
      <x:c r="B19" s="4" t="str">
        <x:v>76</x:v>
      </x:c>
      <x:c r="C19" s="4" t="str">
        <x:v>Criado</x:v>
      </x:c>
      <x:c r="D19" s="4" t="str">
        <x:v>Pendente</x:v>
      </x:c>
      <x:c r="E19" s="4" t="str">
        <x:v>contato@correndopelorio.com.br</x:v>
      </x:c>
      <x:c r="F19" s="4" t="str">
        <x:v>PAULO SANTOS</x:v>
      </x:c>
      <x:c r="G19" s="4" t="str">
        <x:v>(21) 96583-9851</x:v>
      </x:c>
      <x:c r="H19" s="8" t="str">
        <x:v>32286677000124</x:v>
      </x:c>
      <x:c r="I19" s="4" t="str">
        <x:v>ATIVA</x:v>
      </x:c>
      <x:c r="J19" s="4" t="str">
        <x:v>CPR EVENTOS E PRODUCOES LTDA</x:v>
      </x:c>
      <x:c r="K19" s="4" t="str">
        <x:v>PRAIA BOTAFOGO 00501 BLC I SAL 101</x:v>
      </x:c>
      <x:c r="L19" s="4" t="str">
        <x:v>Rio de Janeiro / RJ</x:v>
      </x:c>
      <x:c r="M19" s="4" t="str">
        <x:v>Regulamento RJ Half Marathon identifica realização e organização da CPR Eventos e Produções.</x:v>
      </x:c>
      <x:c r="N19" s="4" t="str">
        <x:v>https://cdn.ticketsports.com.br/ticketagora/arquivos/evento/70069/a5b3982fb38a4f429fab46f5721ea5a2638793708438478428.pdf</x:v>
      </x:c>
      <x:c r="O19" s="4" t="str">
        <x:v>https://abraceo.com.br/filiado/cpr-eventos-e-producoes/</x:v>
      </x:c>
      <x:c r="P19" s="4" t="str">
        <x:v>https://business.roadrunners.run/assets/contas/abraceo/cpr-eventos-e-producoes.jpg</x:v>
      </x:c>
      <x:c r="Q19" s="4" t="str">
        <x:v>https://business.roadrunners.run/administracao/contas/?conta_id=76&amp;tab=precadastro</x:v>
      </x:c>
    </x:row>
    <x:row r="20" ht="88" customHeight="1">
      <x:c r="A20" s="4" t="str">
        <x:v>DBueno Eventos</x:v>
      </x:c>
      <x:c r="B20" s="4" t="str">
        <x:v>77</x:v>
      </x:c>
      <x:c r="C20" s="4" t="str">
        <x:v>Criado</x:v>
      </x:c>
      <x:c r="D20" s="4" t="str">
        <x:v>Pendente</x:v>
      </x:c>
      <x:c r="E20" s="4" t="str">
        <x:v>denis@dbueno.com.br</x:v>
      </x:c>
      <x:c r="F20" s="4" t="str">
        <x:v>DENIS</x:v>
      </x:c>
      <x:c r="G20" s="4" t="str">
        <x:v>13-974073154</x:v>
      </x:c>
      <x:c r="H20" s="8" t="str">
        <x:v>00773882000128</x:v>
      </x:c>
      <x:c r="I20" s="4" t="str">
        <x:v>ATIVA</x:v>
      </x:c>
      <x:c r="J20" s="4" t="str">
        <x:v>ACME - MARKETING E EVENTOS LTDA</x:v>
      </x:c>
      <x:c r="K20" s="4" t="str">
        <x:v>AVENIDA DOUTOR BERNARDINO DE CAMPOS 626 APT 101</x:v>
      </x:c>
      <x:c r="L20" s="4" t="str">
        <x:v>Santos / SP</x:v>
      </x:c>
      <x:c r="M20" s="4" t="str">
        <x:v>Site institucional descreve produção e organização de eventos pela DBueno.</x:v>
      </x:c>
      <x:c r="N20" s="4" t="str">
        <x:v>https://www.dbueno.com.br</x:v>
      </x:c>
      <x:c r="O20" s="4" t="str">
        <x:v>https://abraceo.com.br/filiado/dbueno-eventos/</x:v>
      </x:c>
      <x:c r="P20" s="4" t="str">
        <x:v>https://business.roadrunners.run/assets/contas/abraceo/dbueno-eventos.jpg</x:v>
      </x:c>
      <x:c r="Q20" s="4" t="str">
        <x:v>https://business.roadrunners.run/administracao/contas/?conta_id=77&amp;tab=precadastro</x:v>
      </x:c>
    </x:row>
    <x:row r="21" ht="88" customHeight="1">
      <x:c r="A21" s="4" t="str">
        <x:v>DTO SPORTS EVENTOS ESPORTIVOS E MARKETING</x:v>
      </x:c>
      <x:c r="B21" s="4" t="str">
        <x:v>78</x:v>
      </x:c>
      <x:c r="C21" s="4" t="str">
        <x:v>Criado</x:v>
      </x:c>
      <x:c r="D21" s="4" t="str">
        <x:v>Pendente</x:v>
      </x:c>
      <x:c r="E21" s="4" t="str">
        <x:v>contato@dtosports.com.br</x:v>
      </x:c>
      <x:c r="F21" s="4" t="str">
        <x:v>DIEGO DE SOUZA</x:v>
      </x:c>
      <x:c r="G21" s="4" t="str">
        <x:v>(47) 9 9960-2862</x:v>
      </x:c>
      <x:c r="H21" s="8" t="str">
        <x:v>22450000000126</x:v>
      </x:c>
      <x:c r="I21" s="4" t="str">
        <x:v>ATIVA</x:v>
      </x:c>
      <x:c r="J21" s="4" t="str">
        <x:v>DTO SPORTS EVENTOS ESPORTIVOS LTDA</x:v>
      </x:c>
      <x:c r="K21" s="4" t="str">
        <x:v>RUA MAURINO MAFRA 331 LOTE 05 02</x:v>
      </x:c>
      <x:c r="L21" s="4" t="str">
        <x:v>Balneário Camboriú / SC</x:v>
      </x:c>
      <x:c r="M21" s="4" t="str">
        <x:v>Regulamento identifica a DTO Sports como empresa organizadora e responsável pelas decisões da prova.</x:v>
      </x:c>
      <x:c r="N21" s="4" t="str">
        <x:v>https://www.dtosports.com.br/_files/ugd/1014ec_43455180cb9a4421b3fe5a5269b741b9.pdf</x:v>
      </x:c>
      <x:c r="O21" s="4" t="str">
        <x:v>https://abraceo.com.br/filiado/dto-sports-eventos-esportivos-e-marketing/</x:v>
      </x:c>
      <x:c r="P21" s="4" t="str">
        <x:v>https://business.roadrunners.run/assets/contas/abraceo/dto-sports-eventos-esportivos-e-marketing.jpg</x:v>
      </x:c>
      <x:c r="Q21" s="4" t="str">
        <x:v>https://business.roadrunners.run/administracao/contas/?conta_id=78&amp;tab=precadastro</x:v>
      </x:c>
    </x:row>
    <x:row r="22" ht="88" customHeight="1">
      <x:c r="A22" s="4" t="str">
        <x:v>FG Eventos</x:v>
      </x:c>
      <x:c r="B22" s="4" t="str">
        <x:v>79</x:v>
      </x:c>
      <x:c r="C22" s="4" t="str">
        <x:v>Criado</x:v>
      </x:c>
      <x:c r="D22" s="4" t="str">
        <x:v>Pendente</x:v>
      </x:c>
      <x:c r="E22" s="4" t="str">
        <x:v>paixaoporesporte@gmail.com</x:v>
      </x:c>
      <x:c r="F22" s="4" t="str">
        <x:v>Veridiana Ferraz</x:v>
      </x:c>
      <x:c r="G22" s="4" t="str">
        <x:v>(65)99266-4143</x:v>
      </x:c>
      <x:c r="H22" s="8" t="str">
        <x:v>46308643000106</x:v>
      </x:c>
      <x:c r="I22" s="4" t="str">
        <x:v>ATIVA</x:v>
      </x:c>
      <x:c r="J22" s="4" t="str">
        <x:v>FG ASSESSORIA ESPORTIVA LTDA</x:v>
      </x:c>
      <x:c r="K22" s="4" t="str">
        <x:v>AVENIDA LISBOA (LOT RODOVIARIA PARQUE) 85 QUADRA02 LOTE 09</x:v>
      </x:c>
      <x:c r="L22" s="4" t="str">
        <x:v>Cuiabá / MT</x:v>
      </x:c>
      <x:c r="M22" s="4" t="str">
        <x:v>SINAIT identifica FG Assessoria Esportiva e Veridiana Ferraz como responsáveis pela organização da Corrida contra a Escravidão, compatíveis com o contato ABRACEO. Evidência histórica.</x:v>
      </x:c>
      <x:c r="N22" s="4" t="str">
        <x:v>https://www.sinait.org.br/noticia/16097/36-enafitenafitianos-que-se-inscreverem-ate-15-de-outubro-serao-isentos-da-taxa-da-1-corrida-contra-a-escravidao</x:v>
      </x:c>
      <x:c r="O22" s="4" t="str">
        <x:v>https://abraceo.com.br/filiado/fg-eventos/</x:v>
      </x:c>
      <x:c r="P22" s="4" t="str">
        <x:v>https://business.roadrunners.run/assets/contas/abraceo/fg-eventos.png</x:v>
      </x:c>
      <x:c r="Q22" s="4" t="str">
        <x:v>https://business.roadrunners.run/administracao/contas/?conta_id=79&amp;tab=precadastro</x:v>
      </x:c>
    </x:row>
    <x:row r="23" ht="88" customHeight="1">
      <x:c r="A23" s="4" t="str">
        <x:v>Fidalgo Eventos Esportivos</x:v>
      </x:c>
      <x:c r="B23" s="4" t="str">
        <x:v>80</x:v>
      </x:c>
      <x:c r="C23" s="4" t="str">
        <x:v>Criado</x:v>
      </x:c>
      <x:c r="D23" s="4" t="str">
        <x:v>Pendente</x:v>
      </x:c>
      <x:c r="E23" s="4" t="str">
        <x:v>rafael.fidalgo@outlook.com</x:v>
      </x:c>
      <x:c r="F23" s="4" t="str">
        <x:v>Rafael Fidalgo</x:v>
      </x:c>
      <x:c r="G23" s="4" t="str">
        <x:v>18- 996577615</x:v>
      </x:c>
      <x:c r="H23" s="8" t="str">
        <x:v>36585012000172</x:v>
      </x:c>
      <x:c r="I23" s="4" t="str">
        <x:v>ATIVA</x:v>
      </x:c>
      <x:c r="J23" s="4" t="str">
        <x:v>RAFAEL DE OLIVEIRA FIDALGO EVENTOS E TREINAMENTOS</x:v>
      </x:c>
      <x:c r="K23" s="4" t="str"/>
      <x:c r="L23" s="4" t="str">
        <x:v>Paraguaçu Paulista / SP</x:v>
      </x:c>
      <x:c r="M23" s="4" t="str">
        <x:v>Regulamento da Corrida do Melo distingue realização da Prefeitura e organização da Fidalgo. Data divergente impede vínculo com a edição futura.</x:v>
      </x:c>
      <x:c r="N23" s="4" t="str">
        <x:v>https://midia.recebedigital.com.br/incentivoesporte/eventos/25fb1ed99d373741e38ba3ad64d6582d946a22a2.pdf</x:v>
      </x:c>
      <x:c r="O23" s="4" t="str">
        <x:v>https://abraceo.com.br/filiado/fidalgo-eventos-esportivos/</x:v>
      </x:c>
      <x:c r="P23" s="4" t="str">
        <x:v>https://business.roadrunners.run/assets/contas/abraceo/fidalgo-eventos-esportivos.png</x:v>
      </x:c>
      <x:c r="Q23" s="4" t="str">
        <x:v>https://business.roadrunners.run/administracao/contas/?conta_id=80&amp;tab=precadastro</x:v>
      </x:c>
    </x:row>
    <x:row r="24" ht="88" customHeight="1">
      <x:c r="A24" s="4" t="str">
        <x:v>G2P Eventos</x:v>
      </x:c>
      <x:c r="B24" s="4" t="str">
        <x:v>81</x:v>
      </x:c>
      <x:c r="C24" s="4" t="str">
        <x:v>Criado</x:v>
      </x:c>
      <x:c r="D24" s="4" t="str">
        <x:v>Pendente</x:v>
      </x:c>
      <x:c r="E24" s="4" t="str">
        <x:v>contato@eventosg2p.com</x:v>
      </x:c>
      <x:c r="F24" s="4" t="str">
        <x:v>Guilherme Pizzirani</x:v>
      </x:c>
      <x:c r="G24" s="4" t="str">
        <x:v>19- 99211 8440</x:v>
      </x:c>
      <x:c r="H24" s="8" t="str">
        <x:v>32576417000193</x:v>
      </x:c>
      <x:c r="I24" s="4" t="str">
        <x:v>ATIVA</x:v>
      </x:c>
      <x:c r="J24" s="4" t="str">
        <x:v>G2P EVENTOS LTDA</x:v>
      </x:c>
      <x:c r="K24" s="4" t="str">
        <x:v>RUA 5 JB 14</x:v>
      </x:c>
      <x:c r="L24" s="4" t="str">
        <x:v>Rio Claro / SP</x:v>
      </x:c>
      <x:c r="M24" s="4" t="str">
        <x:v>Regulamentos próprios da G2P identificam a responsável pelo percurso, inscrições e condução das provas.</x:v>
      </x:c>
      <x:c r="N24" s="4" t="str">
        <x:v>https://storagefileta.blob.core.windows.net/ticketagora/arquivos/evento/87973/89a17552c31c484993417af9bc5ebff0639250670030728714.pdf</x:v>
      </x:c>
      <x:c r="O24" s="4" t="str">
        <x:v>https://abraceo.com.br/filiado/g2p-eventos/</x:v>
      </x:c>
      <x:c r="P24" s="4" t="str">
        <x:v>https://business.roadrunners.run/assets/contas/abraceo/g2p-eventos.jpg</x:v>
      </x:c>
      <x:c r="Q24" s="4" t="str">
        <x:v>https://business.roadrunners.run/administracao/contas/?conta_id=81&amp;tab=precadastro</x:v>
      </x:c>
    </x:row>
    <x:row r="25" ht="88" customHeight="1">
      <x:c r="A25" s="4" t="str">
        <x:v>Grupo HJR</x:v>
      </x:c>
      <x:c r="B25" s="4" t="str">
        <x:v>82</x:v>
      </x:c>
      <x:c r="C25" s="4" t="str">
        <x:v>Criado</x:v>
      </x:c>
      <x:c r="D25" s="4" t="str">
        <x:v>Pendente</x:v>
      </x:c>
      <x:c r="E25" s="4" t="str">
        <x:v>licitacao@grupohjr.com.br</x:v>
      </x:c>
      <x:c r="F25" s="4" t="str">
        <x:v>RODRIGO SANDOVAL DE FARIA</x:v>
      </x:c>
      <x:c r="G25" s="4" t="str">
        <x:v>19 9 9123 4109</x:v>
      </x:c>
      <x:c r="H25" s="8" t="str">
        <x:v>09110564000151</x:v>
      </x:c>
      <x:c r="I25" s="4" t="str">
        <x:v>ATIVA</x:v>
      </x:c>
      <x:c r="J25" s="4" t="str">
        <x:v>R.SANDOVAL DE FARIA LTDA</x:v>
      </x:c>
      <x:c r="K25" s="4" t="str">
        <x:v>RUA JOSE MONFARDINI 3850 SALA 01</x:v>
      </x:c>
      <x:c r="L25" s="4" t="str">
        <x:v>E S PINHAL / SP</x:v>
      </x:c>
      <x:c r="M25" s="4" t="str">
        <x:v>Site oficial descreve produção e realização de eventos, inclusive esportivos. Nenhuma prova futura individual teve vínculo confirmado.</x:v>
      </x:c>
      <x:c r="N25" s="4" t="str">
        <x:v>https://grupohjr.com.br/</x:v>
      </x:c>
      <x:c r="O25" s="4" t="str">
        <x:v>https://abraceo.com.br/filiado/grupo-hjr/</x:v>
      </x:c>
      <x:c r="P25" s="4" t="str">
        <x:v>https://business.roadrunners.run/assets/contas/abraceo/grupo-hjr.png</x:v>
      </x:c>
      <x:c r="Q25" s="4" t="str">
        <x:v>https://business.roadrunners.run/administracao/contas/?conta_id=82&amp;tab=precadastro</x:v>
      </x:c>
    </x:row>
    <x:row r="26" ht="88" customHeight="1">
      <x:c r="A26" s="4" t="str">
        <x:v>Ideal 5k</x:v>
      </x:c>
      <x:c r="B26" s="4" t="str">
        <x:v>83</x:v>
      </x:c>
      <x:c r="C26" s="4" t="str">
        <x:v>Criado</x:v>
      </x:c>
      <x:c r="D26" s="4" t="str">
        <x:v>Pendente</x:v>
      </x:c>
      <x:c r="E26" s="4" t="str">
        <x:v>emerson.azevedo@ideal5k.com.br</x:v>
      </x:c>
      <x:c r="F26" s="4" t="str">
        <x:v>Emerson Azevedo Oliveira</x:v>
      </x:c>
      <x:c r="G26" s="4" t="str">
        <x:v>11 981718886</x:v>
      </x:c>
      <x:c r="H26" s="8" t="str">
        <x:v>34784333000170</x:v>
      </x:c>
      <x:c r="I26" s="4" t="str">
        <x:v>ATIVA</x:v>
      </x:c>
      <x:c r="J26" s="4" t="str">
        <x:v>IDEAL 5K PRODUCAO DE EVENTOS ESPORTIVOS LTDA</x:v>
      </x:c>
      <x:c r="K26" s="4" t="str">
        <x:v>AVENIDA RESERVA DO JAPY 227 BLOCO 4 APT 204</x:v>
      </x:c>
      <x:c r="L26" s="4" t="str">
        <x:v>Jundiaí / SP</x:v>
      </x:c>
      <x:c r="M26" s="4" t="str">
        <x:v>Regulamentos declaram expressamente organização das provas pela Ideal 5k Sports.</x:v>
      </x:c>
      <x:c r="N26" s="4" t="str">
        <x:v>https://storagefileta.blob.core.windows.net/ticketagora/arquivos/evento/86815/444e334e183e4b70a02f3de489a4f653639245733210029461.pdf</x:v>
      </x:c>
      <x:c r="O26" s="4" t="str">
        <x:v>https://abraceo.com.br/filiado/ideal-5k/</x:v>
      </x:c>
      <x:c r="P26" s="4" t="str">
        <x:v>https://business.roadrunners.run/assets/contas/abraceo/ideal-5k.jpg</x:v>
      </x:c>
      <x:c r="Q26" s="4" t="str">
        <x:v>https://business.roadrunners.run/administracao/contas/?conta_id=83&amp;tab=precadastro</x:v>
      </x:c>
    </x:row>
    <x:row r="27" ht="88" customHeight="1">
      <x:c r="A27" s="4" t="str">
        <x:v>Maria Isabel Eventos</x:v>
      </x:c>
      <x:c r="B27" s="4" t="str">
        <x:v>84</x:v>
      </x:c>
      <x:c r="C27" s="4" t="str">
        <x:v>Criado</x:v>
      </x:c>
      <x:c r="D27" s="4" t="str">
        <x:v>Pendente</x:v>
      </x:c>
      <x:c r="E27" s="4" t="str">
        <x:v>mariaisabeleventosmga@gmail.com</x:v>
      </x:c>
      <x:c r="F27" s="4" t="str">
        <x:v>Maria Isabel Nogueira</x:v>
      </x:c>
      <x:c r="G27" s="4" t="str">
        <x:v>(44) 99963-9668</x:v>
      </x:c>
      <x:c r="H27" s="8" t="str">
        <x:v>48835413000112</x:v>
      </x:c>
      <x:c r="I27" s="4" t="str">
        <x:v>ATIVA</x:v>
      </x:c>
      <x:c r="J27" s="4" t="str">
        <x:v>MARIA ISABEL EVENTOS LTDA</x:v>
      </x:c>
      <x:c r="K27" s="4" t="str">
        <x:v>RUA IVAI 1107 APT 604 BLOCO 2</x:v>
      </x:c>
      <x:c r="L27" s="4" t="str">
        <x:v>Maringá / PR</x:v>
      </x:c>
      <x:c r="M27" s="4" t="str">
        <x:v>Regulamento da Corrida Colorida identifica Maria Isabel Eventos e sua comissão organizadora.</x:v>
      </x:c>
      <x:c r="N27" s="4" t="str">
        <x:v>https://storagefileta.blob.core.windows.net/ticketagora/arquivos/evento/85191/8e58ddfa2547445894798b560b5cc2b4639075495113048536.pdf</x:v>
      </x:c>
      <x:c r="O27" s="4" t="str">
        <x:v>https://abraceo.com.br/filiado/maria-isabel-eventos/</x:v>
      </x:c>
      <x:c r="P27" s="4" t="str">
        <x:v>https://business.roadrunners.run/assets/contas/abraceo/maria-isabel-eventos.png</x:v>
      </x:c>
      <x:c r="Q27" s="4" t="str">
        <x:v>https://business.roadrunners.run/administracao/contas/?conta_id=84&amp;tab=precadastro</x:v>
      </x:c>
    </x:row>
    <x:row r="28" ht="88" customHeight="1">
      <x:c r="A28" s="4" t="str">
        <x:v>Mountain Do</x:v>
      </x:c>
      <x:c r="B28" s="4" t="str">
        <x:v>85</x:v>
      </x:c>
      <x:c r="C28" s="4" t="str">
        <x:v>Criado</x:v>
      </x:c>
      <x:c r="D28" s="4" t="str">
        <x:v>Pendente</x:v>
      </x:c>
      <x:c r="E28" s="4" t="str">
        <x:v>contato@sportsdo.com.br</x:v>
      </x:c>
      <x:c r="F28" s="4" t="str"/>
      <x:c r="G28" s="4" t="str">
        <x:v>48 9100-9255 / 48 3047-1170</x:v>
      </x:c>
      <x:c r="H28" s="8" t="str">
        <x:v>11771181000176</x:v>
      </x:c>
      <x:c r="I28" s="4" t="str">
        <x:v>ATIVA</x:v>
      </x:c>
      <x:c r="J28" s="4" t="str">
        <x:v>SPORTS DO MARKETING E EVENTOS ESPORTIVOS LTDA</x:v>
      </x:c>
      <x:c r="K28" s="4" t="str">
        <x:v>RUA DORALICE RAMOS PINHO 1280 SALA 02</x:v>
      </x:c>
      <x:c r="L28" s="4" t="str">
        <x:v>São José / SC</x:v>
      </x:c>
      <x:c r="M28" s="4" t="str">
        <x:v>Site oficial da marca identifica Sports Do como organizadora responsável pelos eventos Mountain Do. Cadastro da marca com operador identificado, sem presumir CNPJ atual.</x:v>
      </x:c>
      <x:c r="N28" s="4" t="str">
        <x:v>https://loja.mountaindo.com.br/quem-somos/</x:v>
      </x:c>
      <x:c r="O28" s="4" t="str">
        <x:v>https://abraceo.com.br/filiado/mountain-do/</x:v>
      </x:c>
      <x:c r="P28" s="4" t="str">
        <x:v>https://business.roadrunners.run/assets/contas/abraceo/mountain-do.jpg</x:v>
      </x:c>
      <x:c r="Q28" s="4" t="str">
        <x:v>https://business.roadrunners.run/administracao/contas/?conta_id=85&amp;tab=precadastro</x:v>
      </x:c>
    </x:row>
    <x:row r="29" ht="88" customHeight="1">
      <x:c r="A29" s="4" t="str">
        <x:v>NACE Produções</x:v>
      </x:c>
      <x:c r="B29" s="4" t="str">
        <x:v>86</x:v>
      </x:c>
      <x:c r="C29" s="4" t="str">
        <x:v>Criado</x:v>
      </x:c>
      <x:c r="D29" s="4" t="str">
        <x:v>Pendente</x:v>
      </x:c>
      <x:c r="E29" s="4" t="str">
        <x:v>lanarezendeoficial@gmail.com</x:v>
      </x:c>
      <x:c r="F29" s="4" t="str">
        <x:v>Lana Rezende</x:v>
      </x:c>
      <x:c r="G29" s="4" t="str">
        <x:v>61.996617812</x:v>
      </x:c>
      <x:c r="H29" s="8" t="str">
        <x:v>23005798000160</x:v>
      </x:c>
      <x:c r="I29" s="4" t="str">
        <x:v>ATIVA</x:v>
      </x:c>
      <x:c r="J29" s="4" t="str">
        <x:v>NUCLEO DE APRENDIZAGEM, CURSOS E EVENTOS LTDA</x:v>
      </x:c>
      <x:c r="K29" s="4" t="str">
        <x:v>SETOR SMAS CONJUNTO E LOTE 05</x:v>
      </x:c>
      <x:c r="L29" s="4" t="str">
        <x:v>Brasilia / DF</x:v>
      </x:c>
      <x:c r="M29" s="4" t="str">
        <x:v>Regulamento oficial Vai Corinthians identifica NACE Produções como empresa responsável pela realização, separada dos apoiadores institucionais. Titular atual permanece pendente.</x:v>
      </x:c>
      <x:c r="N29" s="4" t="str">
        <x:v>https://storagefileta.blob.core.windows.net/ticketagora/arquivos/evento/87843/520a04bd087640f8bae9e63c1c2240b3639229253284468022.pdf</x:v>
      </x:c>
      <x:c r="O29" s="4" t="str">
        <x:v>https://abraceo.com.br/filiado/nace-producoes/</x:v>
      </x:c>
      <x:c r="P29" s="4" t="str">
        <x:v>https://business.roadrunners.run/assets/contas/abraceo/nace-producoes.png</x:v>
      </x:c>
      <x:c r="Q29" s="4" t="str">
        <x:v>https://business.roadrunners.run/administracao/contas/?conta_id=86&amp;tab=precadastro</x:v>
      </x:c>
    </x:row>
    <x:row r="30" ht="88" customHeight="1">
      <x:c r="A30" s="4" t="str">
        <x:v>ON EVENTOS ESPORTIVOS</x:v>
      </x:c>
      <x:c r="B30" s="4" t="str">
        <x:v>87</x:v>
      </x:c>
      <x:c r="C30" s="4" t="str">
        <x:v>Criado</x:v>
      </x:c>
      <x:c r="D30" s="4" t="str">
        <x:v>Pendente</x:v>
      </x:c>
      <x:c r="E30" s="4" t="str">
        <x:v>oneventosesportivos@gmail.com</x:v>
      </x:c>
      <x:c r="F30" s="4" t="str">
        <x:v>LUÍS ANTÔNIO DOS ANJOS</x:v>
      </x:c>
      <x:c r="G30" s="4" t="str">
        <x:v>(48) 3052-3043</x:v>
      </x:c>
      <x:c r="H30" s="8" t="str">
        <x:v>31540345000161</x:v>
      </x:c>
      <x:c r="I30" s="4" t="str">
        <x:v>ATIVA</x:v>
      </x:c>
      <x:c r="J30" s="4" t="str">
        <x:v>ON EVENTOS ESPORTIVOS LTDA</x:v>
      </x:c>
      <x:c r="K30" s="4" t="str">
        <x:v>RUA ANTONIO LYDIO ZABOT 972</x:v>
      </x:c>
      <x:c r="L30" s="4" t="str">
        <x:v>Tubarão / SC</x:v>
      </x:c>
      <x:c r="M30" s="4" t="str">
        <x:v>Regulamento Farol Fast Marathon distingue promoção Cortuba e organização ON Sports.</x:v>
      </x:c>
      <x:c r="N30" s="4" t="str">
        <x:v>https://www.onsportsoficial.com.br/painel/upload/doc/inscricao/doc-15-142dbbec228113c71da949a67ac85573.pdf</x:v>
      </x:c>
      <x:c r="O30" s="4" t="str">
        <x:v>https://abraceo.com.br/filiado/on-eventos-esportivos/</x:v>
      </x:c>
      <x:c r="P30" s="4" t="str">
        <x:v>https://business.roadrunners.run/assets/contas/abraceo/on-eventos-esportivos.jpg</x:v>
      </x:c>
      <x:c r="Q30" s="4" t="str">
        <x:v>https://business.roadrunners.run/administracao/contas/?conta_id=87&amp;tab=precadastro</x:v>
      </x:c>
    </x:row>
    <x:row r="31" ht="88" customHeight="1">
      <x:c r="A31" s="4" t="str">
        <x:v>Pace 3 Eventos Esportivos</x:v>
      </x:c>
      <x:c r="B31" s="4" t="str">
        <x:v>88</x:v>
      </x:c>
      <x:c r="C31" s="4" t="str">
        <x:v>Criado</x:v>
      </x:c>
      <x:c r="D31" s="4" t="str">
        <x:v>Pendente</x:v>
      </x:c>
      <x:c r="E31" s="4" t="str">
        <x:v>contato@pace3.com.br</x:v>
      </x:c>
      <x:c r="F31" s="4" t="str">
        <x:v>LUCAS ASSIS / JOVANI PIRES / BERNARDO</x:v>
      </x:c>
      <x:c r="G31" s="4" t="str">
        <x:v>31 7229-0754</x:v>
      </x:c>
      <x:c r="H31" s="8" t="str">
        <x:v>29452525000140</x:v>
      </x:c>
      <x:c r="I31" s="4" t="str">
        <x:v>ATIVA</x:v>
      </x:c>
      <x:c r="J31" s="4" t="str">
        <x:v>PACE 3 EVENTOS ESPORTIVOS LTDA</x:v>
      </x:c>
      <x:c r="K31" s="4" t="str">
        <x:v>RUA LEOPOLDO MIGUEZ 138</x:v>
      </x:c>
      <x:c r="L31" s="4" t="str">
        <x:v>Ipatinga / MG</x:v>
      </x:c>
      <x:c r="M31" s="4" t="str">
        <x:v>Site oficial apresenta a Pace3 como empresa de promoção e execução de eventos esportivos.</x:v>
      </x:c>
      <x:c r="N31" s="4" t="str">
        <x:v>https://www.pace3.com.br/quem-somos-pace/</x:v>
      </x:c>
      <x:c r="O31" s="4" t="str">
        <x:v>https://abraceo.com.br/filiado/pace-3-eventos-esportivos/</x:v>
      </x:c>
      <x:c r="P31" s="4" t="str">
        <x:v>https://business.roadrunners.run/assets/contas/abraceo/pace-3-eventos-esportivos.jpg</x:v>
      </x:c>
      <x:c r="Q31" s="4" t="str">
        <x:v>https://business.roadrunners.run/administracao/contas/?conta_id=88&amp;tab=precadastro</x:v>
      </x:c>
    </x:row>
    <x:row r="32" ht="88" customHeight="1">
      <x:c r="A32" s="4" t="str">
        <x:v>Pace Eventos</x:v>
      </x:c>
      <x:c r="B32" s="4" t="str">
        <x:v>89</x:v>
      </x:c>
      <x:c r="C32" s="4" t="str">
        <x:v>Criado</x:v>
      </x:c>
      <x:c r="D32" s="4" t="str">
        <x:v>Pendente</x:v>
      </x:c>
      <x:c r="E32" s="4" t="str"/>
      <x:c r="F32" s="4" t="str">
        <x:v>NEWTON JOSÉ GOMES</x:v>
      </x:c>
      <x:c r="G32" s="4" t="str">
        <x:v>27-99299-4157</x:v>
      </x:c>
      <x:c r="H32" s="8" t="str">
        <x:v>30412564000100</x:v>
      </x:c>
      <x:c r="I32" s="4" t="str">
        <x:v>ATIVA</x:v>
      </x:c>
      <x:c r="J32" s="4" t="str">
        <x:v>PACE EVENTOS LTDA</x:v>
      </x:c>
      <x:c r="K32" s="4" t="str">
        <x:v>RUA ALBERTO BELLA ROSA 122</x:v>
      </x:c>
      <x:c r="L32" s="4" t="str">
        <x:v>Vitória / ES</x:v>
      </x:c>
      <x:c r="M32" s="4" t="str">
        <x:v>Regulamento da Maratona de Vitória identifica PACE Eventos Ltda como organizadora.</x:v>
      </x:c>
      <x:c r="N32" s="4" t="str">
        <x:v>https://storagefileta.blob.core.windows.net/ticketagora/arquivos/evento/88251/c9797e464fed4d4a830c43d23a714fde639236039846466297.pdf</x:v>
      </x:c>
      <x:c r="O32" s="4" t="str">
        <x:v>https://abraceo.com.br/filiado/pace-eventos/</x:v>
      </x:c>
      <x:c r="P32" s="4" t="str">
        <x:v>https://business.roadrunners.run/assets/contas/abraceo/pace-eventos.png</x:v>
      </x:c>
      <x:c r="Q32" s="4" t="str">
        <x:v>https://business.roadrunners.run/administracao/contas/?conta_id=89&amp;tab=precadastro</x:v>
      </x:c>
    </x:row>
    <x:row r="33" ht="88" customHeight="1">
      <x:c r="A33" s="4" t="str">
        <x:v>Partiu Corrida</x:v>
      </x:c>
      <x:c r="B33" s="4" t="str">
        <x:v>90</x:v>
      </x:c>
      <x:c r="C33" s="4" t="str">
        <x:v>Criado</x:v>
      </x:c>
      <x:c r="D33" s="4" t="str">
        <x:v>Pendente</x:v>
      </x:c>
      <x:c r="E33" s="4" t="str">
        <x:v>rodrigo@partiucorrida.com</x:v>
      </x:c>
      <x:c r="F33" s="4" t="str">
        <x:v>Rodrigo Pochmann</x:v>
      </x:c>
      <x:c r="G33" s="4" t="str">
        <x:v>(11) 99589-2122</x:v>
      </x:c>
      <x:c r="H33" s="8" t="str">
        <x:v>10698955000118</x:v>
      </x:c>
      <x:c r="I33" s="4" t="str">
        <x:v>ATIVA</x:v>
      </x:c>
      <x:c r="J33" s="4" t="str">
        <x:v>PARTIU COMERCIO DE PRODUTOS E MARKETING LTDA</x:v>
      </x:c>
      <x:c r="K33" s="4" t="str">
        <x:v>RUA DOUTOR LINO DE MORAIS LEME 135</x:v>
      </x:c>
      <x:c r="L33" s="4" t="str">
        <x:v>Artur Nogueira / SP</x:v>
      </x:c>
      <x:c r="M33" s="4" t="str">
        <x:v>Regulamento da Corrida No Seu Ritmo distingue realizadores Ativamente e 96FM da organizadora Partiu Corrida.</x:v>
      </x:c>
      <x:c r="N33" s="4" t="str">
        <x:v>https://storagefileta.blob.core.windows.net/ticketagora/arquivos/evento/87830/6340556a9d55478190e07710d7632345639204035738318554.pdf</x:v>
      </x:c>
      <x:c r="O33" s="4" t="str">
        <x:v>https://abraceo.com.br/filiado/partiu-corrida/</x:v>
      </x:c>
      <x:c r="P33" s="4" t="str">
        <x:v>https://business.roadrunners.run/assets/contas/abraceo/partiu-corrida.jpg</x:v>
      </x:c>
      <x:c r="Q33" s="4" t="str">
        <x:v>https://business.roadrunners.run/administracao/contas/?conta_id=90&amp;tab=precadastro</x:v>
      </x:c>
    </x:row>
    <x:row r="34" ht="88" customHeight="1">
      <x:c r="A34" s="4" t="str">
        <x:v>Pepper Criativa Sport &amp; Business Agency</x:v>
      </x:c>
      <x:c r="B34" s="4" t="str">
        <x:v>91</x:v>
      </x:c>
      <x:c r="C34" s="4" t="str">
        <x:v>Criado</x:v>
      </x:c>
      <x:c r="D34" s="4" t="str">
        <x:v>Pendente</x:v>
      </x:c>
      <x:c r="E34" s="4" t="str">
        <x:v>luciana@peppersports.com.br</x:v>
      </x:c>
      <x:c r="F34" s="4" t="str">
        <x:v>LUCIANA CRISTINA</x:v>
      </x:c>
      <x:c r="G34" s="4" t="str">
        <x:v>(15) 9 9740-8974</x:v>
      </x:c>
      <x:c r="H34" s="8" t="str">
        <x:v>33015610000118</x:v>
      </x:c>
      <x:c r="I34" s="4" t="str">
        <x:v>ATIVA</x:v>
      </x:c>
      <x:c r="J34" s="4" t="str">
        <x:v>LUCIANA CRISTINA SILVA</x:v>
      </x:c>
      <x:c r="K34" s="4" t="str"/>
      <x:c r="L34" s="4" t="str">
        <x:v>Sorocaba / SP</x:v>
      </x:c>
      <x:c r="M34" s="4" t="str">
        <x:v>Página oficial de inscrição identifica Pepper Sports como organizador e relaciona evento do mesmo produtor como Pepper Criativa Sports. Papel de marketing em outra prova não foi usado para vínculo.</x:v>
      </x:c>
      <x:c r="N34" s="4" t="str">
        <x:v>https://www.ticketsports.com.uy/e/sorocaba-speed-run-full-life-2026-74787</x:v>
      </x:c>
      <x:c r="O34" s="4" t="str">
        <x:v>https://abraceo.com.br/filiado/pepper-criativa-sport-business-agency/</x:v>
      </x:c>
      <x:c r="P34" s="4" t="str">
        <x:v>https://business.roadrunners.run/assets/contas/abraceo/pepper-criativa-sport-business-agency.jpg</x:v>
      </x:c>
      <x:c r="Q34" s="4" t="str">
        <x:v>https://business.roadrunners.run/administracao/contas/?conta_id=91&amp;tab=precadastro</x:v>
      </x:c>
    </x:row>
    <x:row r="35" ht="88" customHeight="1">
      <x:c r="A35" s="4" t="str">
        <x:v>Personew</x:v>
      </x:c>
      <x:c r="B35" s="4" t="str">
        <x:v>92</x:v>
      </x:c>
      <x:c r="C35" s="4" t="str">
        <x:v>Criado</x:v>
      </x:c>
      <x:c r="D35" s="4" t="str">
        <x:v>Pendente</x:v>
      </x:c>
      <x:c r="E35" s="4" t="str">
        <x:v>itamar.ajunior@hotmail.com</x:v>
      </x:c>
      <x:c r="F35" s="4" t="str">
        <x:v>Itamar</x:v>
      </x:c>
      <x:c r="G35" s="4" t="str">
        <x:v>16 99155-0514</x:v>
      </x:c>
      <x:c r="H35" s="8" t="str">
        <x:v>13544583000163</x:v>
      </x:c>
      <x:c r="I35" s="4" t="str">
        <x:v>ATIVA</x:v>
      </x:c>
      <x:c r="J35" s="4" t="str">
        <x:v>ITAMAR DE AZEVEDO JUNIOR &amp; CIA LTDA</x:v>
      </x:c>
      <x:c r="K35" s="4" t="str">
        <x:v>AVENIDA PAULO VI 345</x:v>
      </x:c>
      <x:c r="L35" s="4" t="str">
        <x:v>Franca / SP</x:v>
      </x:c>
      <x:c r="M35" s="4" t="str">
        <x:v>Calendário oficial identifica Personew como organizadora da Patrocínio Outono Run. Página Irmãos Patrocínio também traz seu logotipo em Organização.</x:v>
      </x:c>
      <x:c r="N35" s="4" t="str">
        <x:v>https://www.personew.esp.br/calendario</x:v>
      </x:c>
      <x:c r="O35" s="4" t="str">
        <x:v>https://abraceo.com.br/filiado/personew/</x:v>
      </x:c>
      <x:c r="P35" s="4" t="str">
        <x:v>https://business.roadrunners.run/assets/contas/abraceo/personew.jpg</x:v>
      </x:c>
      <x:c r="Q35" s="4" t="str">
        <x:v>https://business.roadrunners.run/administracao/contas/?conta_id=92&amp;tab=precadastro</x:v>
      </x:c>
    </x:row>
    <x:row r="36" ht="88" customHeight="1">
      <x:c r="A36" s="4" t="str">
        <x:v>PODIUM SPORT</x:v>
      </x:c>
      <x:c r="B36" s="4" t="str">
        <x:v>93</x:v>
      </x:c>
      <x:c r="C36" s="4" t="str">
        <x:v>Criado</x:v>
      </x:c>
      <x:c r="D36" s="4" t="str">
        <x:v>Pendente</x:v>
      </x:c>
      <x:c r="E36" s="4" t="str">
        <x:v>podiumsports@gmail.com</x:v>
      </x:c>
      <x:c r="F36" s="4" t="str">
        <x:v>TELMARIO QUEIROZ</x:v>
      </x:c>
      <x:c r="G36" s="4" t="str">
        <x:v>(69) 32231983 (69) 981116380</x:v>
      </x:c>
      <x:c r="H36" s="8" t="str">
        <x:v>09639559000130</x:v>
      </x:c>
      <x:c r="I36" s="4" t="str">
        <x:v>ATIVA</x:v>
      </x:c>
      <x:c r="J36" s="4" t="str">
        <x:v>PODIUM SPORT SERVICOS DE EVENTOS ESPORTIVOS LTDA</x:v>
      </x:c>
      <x:c r="K36" s="4" t="str">
        <x:v>RUA JULIO DE CASTILHO 843 SALA A</x:v>
      </x:c>
      <x:c r="L36" s="4" t="str">
        <x:v>Porto Velho / RO</x:v>
      </x:c>
      <x:c r="M36" s="4" t="str">
        <x:v>Página de inscrição e regulamento identificam Podium Sport Eventos como produtor responsável pela Maratona YoPro.</x:v>
      </x:c>
      <x:c r="N36" s="4" t="str">
        <x:v>https://www.sympla.com.br/evento/4a-maratona-yopro-de-porto-velho/3493792</x:v>
      </x:c>
      <x:c r="O36" s="4" t="str">
        <x:v>https://abraceo.com.br/filiado/podium-sport/</x:v>
      </x:c>
      <x:c r="P36" s="4" t="str">
        <x:v>https://business.roadrunners.run/assets/contas/abraceo/podium-sport.jpg</x:v>
      </x:c>
      <x:c r="Q36" s="4" t="str">
        <x:v>https://business.roadrunners.run/administracao/contas/?conta_id=93&amp;tab=precadastro</x:v>
      </x:c>
    </x:row>
    <x:row r="37" ht="88" customHeight="1">
      <x:c r="A37" s="4" t="str">
        <x:v>Ponto ORG (.ORG)</x:v>
      </x:c>
      <x:c r="B37" s="4" t="str">
        <x:v>94</x:v>
      </x:c>
      <x:c r="C37" s="4" t="str">
        <x:v>Criado</x:v>
      </x:c>
      <x:c r="D37" s="4" t="str">
        <x:v>Pendente</x:v>
      </x:c>
      <x:c r="E37" s="4" t="str">
        <x:v>henrique@pontoorgeventos.com.br</x:v>
      </x:c>
      <x:c r="F37" s="4" t="str">
        <x:v>Henrique Costa Gomes</x:v>
      </x:c>
      <x:c r="G37" s="4" t="str">
        <x:v>(31) 2515-1500</x:v>
      </x:c>
      <x:c r="H37" s="8" t="str">
        <x:v>06174644000182</x:v>
      </x:c>
      <x:c r="I37" s="4" t="str">
        <x:v>ATIVA</x:v>
      </x:c>
      <x:c r="J37" s="4" t="str">
        <x:v>PONTO ORG ORGANIZACAO DE EVENTOS LTDA</x:v>
      </x:c>
      <x:c r="K37" s="4" t="str">
        <x:v>RUA ARRUDAS 245 SALA 05</x:v>
      </x:c>
      <x:c r="L37" s="4" t="str">
        <x:v>Belo Horizonte / MG</x:v>
      </x:c>
      <x:c r="M37" s="4" t="str">
        <x:v>Site institucional apresenta criação e execução de eventos esportivos próprios e cuidado de todos os processos de organização.</x:v>
      </x:c>
      <x:c r="N37" s="4" t="str">
        <x:v>https://pontoorgeventos.com.br/</x:v>
      </x:c>
      <x:c r="O37" s="4" t="str">
        <x:v>https://abraceo.com.br/filiado/ponto-org-org/</x:v>
      </x:c>
      <x:c r="P37" s="4" t="str">
        <x:v>https://business.roadrunners.run/assets/contas/abraceo/ponto-org-org.jpg</x:v>
      </x:c>
      <x:c r="Q37" s="4" t="str">
        <x:v>https://business.roadrunners.run/administracao/contas/?conta_id=94&amp;tab=precadastro</x:v>
      </x:c>
    </x:row>
    <x:row r="38" ht="88" customHeight="1">
      <x:c r="A38" s="4" t="str">
        <x:v>Proworld</x:v>
      </x:c>
      <x:c r="B38" s="4" t="str">
        <x:v>95</x:v>
      </x:c>
      <x:c r="C38" s="4" t="str">
        <x:v>Criado</x:v>
      </x:c>
      <x:c r="D38" s="4" t="str">
        <x:v>Pendente</x:v>
      </x:c>
      <x:c r="E38" s="4" t="str">
        <x:v>paulorosa2@gmail.com</x:v>
      </x:c>
      <x:c r="F38" s="4" t="str">
        <x:v>PAULO ROSA</x:v>
      </x:c>
      <x:c r="G38" s="4" t="str">
        <x:v>(19) 3231-4836 (19) 9 9984-7255</x:v>
      </x:c>
      <x:c r="H38" s="8" t="str">
        <x:v>01555104000125</x:v>
      </x:c>
      <x:c r="I38" s="4" t="str">
        <x:v>ATIVA</x:v>
      </x:c>
      <x:c r="J38" s="4" t="str">
        <x:v>PROWORLD PROMOCOES LTDA</x:v>
      </x:c>
      <x:c r="K38" s="4" t="str">
        <x:v>RUA DA ABOLICAO 346</x:v>
      </x:c>
      <x:c r="L38" s="4" t="str">
        <x:v>Campinas / SP</x:v>
      </x:c>
      <x:c r="M38" s="4" t="str">
        <x:v>Regulamento do Circuito Distritos de Campinas identifica organização da Proworld em conjunto com a Prefeitura.</x:v>
      </x:c>
      <x:c r="N38" s="4" t="str">
        <x:v>https://midia.recebedigital.com.br/inscrevafacil/eventos/f917aaeaf294cfc7b1f7a24e752b8c2f1b01e298.pdf</x:v>
      </x:c>
      <x:c r="O38" s="4" t="str">
        <x:v>https://abraceo.com.br/filiado/proworld/</x:v>
      </x:c>
      <x:c r="P38" s="4" t="str">
        <x:v>https://business.roadrunners.run/assets/contas/abraceo/proworld.jpg</x:v>
      </x:c>
      <x:c r="Q38" s="4" t="str">
        <x:v>https://business.roadrunners.run/administracao/contas/?conta_id=95&amp;tab=precadastro</x:v>
      </x:c>
    </x:row>
    <x:row r="39" ht="88" customHeight="1">
      <x:c r="A39" s="4" t="str">
        <x:v>Quanta Esportes e Eventos</x:v>
      </x:c>
      <x:c r="B39" s="4" t="str">
        <x:v>96</x:v>
      </x:c>
      <x:c r="C39" s="4" t="str">
        <x:v>Criado</x:v>
      </x:c>
      <x:c r="D39" s="4" t="str">
        <x:v>Pendente</x:v>
      </x:c>
      <x:c r="E39" s="4" t="str">
        <x:v>simone@quantasports.com.br</x:v>
      </x:c>
      <x:c r="F39" s="4" t="str">
        <x:v>Simone Leila dos Santos</x:v>
      </x:c>
      <x:c r="G39" s="4" t="str">
        <x:v>31 9 9776 4091</x:v>
      </x:c>
      <x:c r="H39" s="8" t="str">
        <x:v>33045470000120</x:v>
      </x:c>
      <x:c r="I39" s="4" t="str">
        <x:v>ATIVA</x:v>
      </x:c>
      <x:c r="J39" s="4" t="str">
        <x:v>QUANTA ESPORTES E EVENTOS LTDA</x:v>
      </x:c>
      <x:c r="K39" s="4" t="str">
        <x:v>RUA CUBATAO 297</x:v>
      </x:c>
      <x:c r="L39" s="4" t="str">
        <x:v>Belo Horizonte / MG</x:v>
      </x:c>
      <x:c r="M39" s="4" t="str">
        <x:v>Regulamento Circuito das Cidades Lagoa Santa identifica promoção e organização da Quanta Esportes e Eventos.</x:v>
      </x:c>
      <x:c r="N39" s="4" t="str">
        <x:v>https://app.poptickets.com.br/evento/circuito-das-cidades-etapa-lagoa-santa</x:v>
      </x:c>
      <x:c r="O39" s="4" t="str">
        <x:v>https://abraceo.com.br/filiado/quanta-esportes-e-eventos/</x:v>
      </x:c>
      <x:c r="P39" s="4" t="str">
        <x:v>https://business.roadrunners.run/assets/contas/abraceo/quanta-esportes-e-eventos.png</x:v>
      </x:c>
      <x:c r="Q39" s="4" t="str">
        <x:v>https://business.roadrunners.run/administracao/contas/?conta_id=96&amp;tab=precadastro</x:v>
      </x:c>
    </x:row>
    <x:row r="40" ht="88" customHeight="1">
      <x:c r="A40" s="4" t="str">
        <x:v>RAV Sports</x:v>
      </x:c>
      <x:c r="B40" s="4" t="str">
        <x:v>97</x:v>
      </x:c>
      <x:c r="C40" s="4" t="str">
        <x:v>Criado</x:v>
      </x:c>
      <x:c r="D40" s="4" t="str">
        <x:v>Pendente</x:v>
      </x:c>
      <x:c r="E40" s="4" t="str">
        <x:v>ravsportsbr@gmail.com</x:v>
      </x:c>
      <x:c r="F40" s="4" t="str">
        <x:v>Rodrigo Ferreira Urman</x:v>
      </x:c>
      <x:c r="G40" s="4" t="str">
        <x:v>(69)99266-0655</x:v>
      </x:c>
      <x:c r="H40" s="8" t="str">
        <x:v>53079070000143</x:v>
      </x:c>
      <x:c r="I40" s="4" t="str">
        <x:v>ATIVA</x:v>
      </x:c>
      <x:c r="J40" s="4" t="str">
        <x:v>RAV SPORTS LTDA</x:v>
      </x:c>
      <x:c r="K40" s="4" t="str">
        <x:v>RUA TRIANGULO MINEIRO 1328</x:v>
      </x:c>
      <x:c r="L40" s="4" t="str">
        <x:v>Ji-Paraná</x:v>
      </x:c>
      <x:c r="M40" s="4" t="str">
        <x:v>Regulamento da Corrida do Coração SOCERON declara organização da RAV Sports e equipe de apoio SOCERON.</x:v>
      </x:c>
      <x:c r="N40" s="4" t="str">
        <x:v>https://lets.events/e/8-corrida-do-coracao-soceron-ji-parana-ro-2026</x:v>
      </x:c>
      <x:c r="O40" s="4" t="str">
        <x:v>https://abraceo.com.br/filiado/rav-sports/</x:v>
      </x:c>
      <x:c r="P40" s="4" t="str">
        <x:v>https://business.roadrunners.run/assets/contas/abraceo/rav-sports.jpg</x:v>
      </x:c>
      <x:c r="Q40" s="4" t="str">
        <x:v>https://business.roadrunners.run/administracao/contas/?conta_id=97&amp;tab=precadastro</x:v>
      </x:c>
    </x:row>
    <x:row r="41" ht="88" customHeight="1">
      <x:c r="A41" s="4" t="str">
        <x:v>RG+</x:v>
      </x:c>
      <x:c r="B41" s="4" t="str">
        <x:v>98</x:v>
      </x:c>
      <x:c r="C41" s="4" t="str">
        <x:v>Criado</x:v>
      </x:c>
      <x:c r="D41" s="4" t="str">
        <x:v>Pendente</x:v>
      </x:c>
      <x:c r="E41" s="4" t="str">
        <x:v>humberto@redegeral.com.br</x:v>
      </x:c>
      <x:c r="F41" s="4" t="str">
        <x:v>Humberto</x:v>
      </x:c>
      <x:c r="G41" s="4" t="str">
        <x:v>(75) 3622-0970 | (75) 9 8101-2114</x:v>
      </x:c>
      <x:c r="H41" s="8" t="str">
        <x:v>08241186000182</x:v>
      </x:c>
      <x:c r="I41" s="4" t="str">
        <x:v>ATIVA</x:v>
      </x:c>
      <x:c r="J41" s="4" t="str">
        <x:v>REDE GERAL SERVICOS LTDA</x:v>
      </x:c>
      <x:c r="K41" s="4" t="str">
        <x:v>AVENIDA GOVERNADOR JOAO DURVAL CARNEIRO 3665 SALA 1611 MULTIPLACE BOULEVARD</x:v>
      </x:c>
      <x:c r="L41" s="4" t="str">
        <x:v>Feira de Santana / BA</x:v>
      </x:c>
      <x:c r="M41" s="4" t="str">
        <x:v>Regulamento Feira Night Run identifica RG+ como organizadora.</x:v>
      </x:c>
      <x:c r="N41" s="4" t="str">
        <x:v>https://storagefileta.blob.core.windows.net/ticketagora/arquivos/evento/74808/652b65d32bcd47b693cddb353437b3c2638989970742959944.pdf</x:v>
      </x:c>
      <x:c r="O41" s="4" t="str">
        <x:v>https://abraceo.com.br/filiado/rg/</x:v>
      </x:c>
      <x:c r="P41" s="4" t="str">
        <x:v>https://business.roadrunners.run/assets/contas/abraceo/rg.jpg</x:v>
      </x:c>
      <x:c r="Q41" s="4" t="str">
        <x:v>https://business.roadrunners.run/administracao/contas/?conta_id=98&amp;tab=precadastro</x:v>
      </x:c>
    </x:row>
    <x:row r="42" ht="88" customHeight="1">
      <x:c r="A42" s="4" t="str">
        <x:v>Run Eventos</x:v>
      </x:c>
      <x:c r="B42" s="4" t="str">
        <x:v>99</x:v>
      </x:c>
      <x:c r="C42" s="4" t="str">
        <x:v>Criado</x:v>
      </x:c>
      <x:c r="D42" s="4" t="str">
        <x:v>Pendente</x:v>
      </x:c>
      <x:c r="E42" s="4" t="str">
        <x:v>oliemartins@gmai.com</x:v>
      </x:c>
      <x:c r="F42" s="4" t="str">
        <x:v>Francisco Olié Martins Neto</x:v>
      </x:c>
      <x:c r="G42" s="4" t="str">
        <x:v>83.99924-9000</x:v>
      </x:c>
      <x:c r="H42" s="8" t="str">
        <x:v>65894494000140</x:v>
      </x:c>
      <x:c r="I42" s="4" t="str">
        <x:v>ATIVA</x:v>
      </x:c>
      <x:c r="J42" s="4" t="str">
        <x:v>RUN EVENTOS ESPORTIVOS E CULTURAIS LTDA</x:v>
      </x:c>
      <x:c r="K42" s="4" t="str">
        <x:v>RUA MANOEL MEDEIROS GUEDES 12 SALA 201 CXPST 658</x:v>
      </x:c>
      <x:c r="L42" s="4" t="str">
        <x:v>João Pessoa / PB</x:v>
      </x:c>
      <x:c r="M42" s="4" t="str">
        <x:v>Site oficial identifica criação, planejamento, produção e realização de eventos esportivos, da estratégia à operação.</x:v>
      </x:c>
      <x:c r="N42" s="4" t="str">
        <x:v>https://runeventos.com.br/</x:v>
      </x:c>
      <x:c r="O42" s="4" t="str">
        <x:v>https://abraceo.com.br/filiado/run-eventos/</x:v>
      </x:c>
      <x:c r="P42" s="4" t="str">
        <x:v>https://business.roadrunners.run/assets/contas/abraceo/run-eventos.png</x:v>
      </x:c>
      <x:c r="Q42" s="4" t="str">
        <x:v>https://business.roadrunners.run/administracao/contas/?conta_id=99&amp;tab=precadastro</x:v>
      </x:c>
    </x:row>
    <x:row r="43" ht="88" customHeight="1">
      <x:c r="A43" s="4" t="str">
        <x:v>RUN SPORTS</x:v>
      </x:c>
      <x:c r="B43" s="4" t="str">
        <x:v>100</x:v>
      </x:c>
      <x:c r="C43" s="4" t="str">
        <x:v>Criado</x:v>
      </x:c>
      <x:c r="D43" s="4" t="str">
        <x:v>Pendente</x:v>
      </x:c>
      <x:c r="E43" s="4" t="str">
        <x:v>claudio@runsports.com.br</x:v>
      </x:c>
      <x:c r="F43" s="4" t="str">
        <x:v>CLÁUDIO SOIREFMANN</x:v>
      </x:c>
      <x:c r="G43" s="4" t="str">
        <x:v>(51) 9 9388-2483</x:v>
      </x:c>
      <x:c r="H43" s="8" t="str">
        <x:v>10543235000183</x:v>
      </x:c>
      <x:c r="I43" s="4" t="str">
        <x:v>ATIVA</x:v>
      </x:c>
      <x:c r="J43" s="4" t="str">
        <x:v>RUN EVENTOS ESPORTIVOS LTDA</x:v>
      </x:c>
      <x:c r="K43" s="4" t="str">
        <x:v>RUA VICENTE DA FONTOURA 2352 CONJ 701</x:v>
      </x:c>
      <x:c r="L43" s="4" t="str">
        <x:v>Porto Alegre / RS</x:v>
      </x:c>
      <x:c r="M43" s="4" t="str">
        <x:v>Regulamentos identificam Run Sports como idealizadora, realizadora e organizadora das provas.</x:v>
      </x:c>
      <x:c r="N43" s="4" t="str">
        <x:v>https://storagefileta.blob.core.windows.net/ticketagora/arquivos/evento/87987/b645cea51ff242f796f0b11b37322bdf639229252198669453.pdf</x:v>
      </x:c>
      <x:c r="O43" s="4" t="str">
        <x:v>https://abraceo.com.br/filiado/run-sports/</x:v>
      </x:c>
      <x:c r="P43" s="4" t="str">
        <x:v>https://business.roadrunners.run/assets/contas/abraceo/run-sports.jpg</x:v>
      </x:c>
      <x:c r="Q43" s="4" t="str">
        <x:v>https://business.roadrunners.run/administracao/contas/?conta_id=100&amp;tab=precadastro</x:v>
      </x:c>
    </x:row>
    <x:row r="44" ht="88" customHeight="1">
      <x:c r="A44" s="4" t="str">
        <x:v>Runk Marketing Esportivo LTDA</x:v>
      </x:c>
      <x:c r="B44" s="4" t="str">
        <x:v>101</x:v>
      </x:c>
      <x:c r="C44" s="4" t="str">
        <x:v>Criado</x:v>
      </x:c>
      <x:c r="D44" s="4" t="str">
        <x:v>Pendente</x:v>
      </x:c>
      <x:c r="E44" s="4" t="str">
        <x:v>sac@runk.com.br</x:v>
      </x:c>
      <x:c r="F44" s="4" t="str">
        <x:v>RENAN BUSSULO</x:v>
      </x:c>
      <x:c r="G44" s="4" t="str">
        <x:v>19 99333-0444</x:v>
      </x:c>
      <x:c r="H44" s="8" t="str">
        <x:v>58975457000100</x:v>
      </x:c>
      <x:c r="I44" s="4" t="str">
        <x:v>ATIVA</x:v>
      </x:c>
      <x:c r="J44" s="4" t="str">
        <x:v>RUNK MARKETING ESPORTIVO LTDA</x:v>
      </x:c>
      <x:c r="K44" s="4" t="str">
        <x:v>RUA SERGIO GALLO 44</x:v>
      </x:c>
      <x:c r="L44" s="4" t="str">
        <x:v>Artur Nogueira / SP</x:v>
      </x:c>
      <x:c r="M44" s="4" t="str">
        <x:v>Regulamento Corrida Cinderela identifica Runk Sports como organizadora. Cabeçalho 2026 e data 2027 divergem; evento separado.</x:v>
      </x:c>
      <x:c r="N44" s="4" t="str">
        <x:v>https://storagefileta.blob.core.windows.net/ticketagora/arquivos/evento/88502/ace8d808836947e9bad0eb05482ecf25639257808165585840.pdf</x:v>
      </x:c>
      <x:c r="O44" s="4" t="str">
        <x:v>https://abraceo.com.br/filiado/runk-marketing-esportivo-ltda/</x:v>
      </x:c>
      <x:c r="P44" s="4" t="str">
        <x:v>https://business.roadrunners.run/assets/contas/abraceo/runk-marketing-esportivo-ltda.jpg</x:v>
      </x:c>
      <x:c r="Q44" s="4" t="str">
        <x:v>https://business.roadrunners.run/administracao/contas/?conta_id=101&amp;tab=precadastro</x:v>
      </x:c>
    </x:row>
    <x:row r="45" ht="88" customHeight="1">
      <x:c r="A45" s="4" t="str">
        <x:v>Sagaz Esportes</x:v>
      </x:c>
      <x:c r="B45" s="4" t="str">
        <x:v>102</x:v>
      </x:c>
      <x:c r="C45" s="4" t="str">
        <x:v>Criado</x:v>
      </x:c>
      <x:c r="D45" s="4" t="str">
        <x:v>Pendente</x:v>
      </x:c>
      <x:c r="E45" s="4" t="str">
        <x:v>felipe@sagazesportes.com.br</x:v>
      </x:c>
      <x:c r="F45" s="4" t="str">
        <x:v>Felipe Romero</x:v>
      </x:c>
      <x:c r="G45" s="4" t="str">
        <x:v>+55 11 99819-1055</x:v>
      </x:c>
      <x:c r="H45" s="8" t="str">
        <x:v>28596025000119</x:v>
      </x:c>
      <x:c r="I45" s="4" t="str">
        <x:v>ATIVA</x:v>
      </x:c>
      <x:c r="J45" s="4" t="str">
        <x:v>SAGAZ ESPORTES LTDA</x:v>
      </x:c>
      <x:c r="K45" s="4" t="str">
        <x:v>AVENIDA PEDROSO DE MORAIS 347 CASA 4</x:v>
      </x:c>
      <x:c r="L45" s="4" t="str">
        <x:v>São Paulo / SP</x:v>
      </x:c>
      <x:c r="M45" s="4" t="str">
        <x:v>Regulamento Urban Trail Run identifica organização Sagaz Esportes. Divergências de data ou edição dos candidatos impedem associação automática.</x:v>
      </x:c>
      <x:c r="N45" s="4" t="str">
        <x:v>https://storagefileta.blob.core.windows.net/ticketagora/arquivos/evento/85142/0048b3527acf48a592d7e2e53381a136639155749773191136.pdf</x:v>
      </x:c>
      <x:c r="O45" s="4" t="str">
        <x:v>https://abraceo.com.br/filiado/sagaz-esportes/</x:v>
      </x:c>
      <x:c r="P45" s="4" t="str">
        <x:v>https://business.roadrunners.run/assets/contas/abraceo/sagaz-esportes.png</x:v>
      </x:c>
      <x:c r="Q45" s="4" t="str">
        <x:v>https://business.roadrunners.run/administracao/contas/?conta_id=102&amp;tab=precadastro</x:v>
      </x:c>
    </x:row>
    <x:row r="46" ht="88" customHeight="1">
      <x:c r="A46" s="4" t="str">
        <x:v>Speed Produções e Eventos</x:v>
      </x:c>
      <x:c r="B46" s="4" t="str">
        <x:v>103</x:v>
      </x:c>
      <x:c r="C46" s="4" t="str">
        <x:v>Criado</x:v>
      </x:c>
      <x:c r="D46" s="4" t="str">
        <x:v>Pendente</x:v>
      </x:c>
      <x:c r="E46" s="4" t="str">
        <x:v>financeiro@speedproducoes.com.br</x:v>
      </x:c>
      <x:c r="F46" s="4" t="str">
        <x:v>Rodrigo Santos Silva</x:v>
      </x:c>
      <x:c r="G46" s="4" t="str">
        <x:v>7999143-0442</x:v>
      </x:c>
      <x:c r="H46" s="8" t="str">
        <x:v>28119350000190</x:v>
      </x:c>
      <x:c r="I46" s="4" t="str">
        <x:v>ATIVA</x:v>
      </x:c>
      <x:c r="J46" s="4" t="str">
        <x:v>SPEED PRODUCOES E EVENTOS LTDA</x:v>
      </x:c>
      <x:c r="K46" s="4" t="str">
        <x:v>RUA MANGABINHA 100</x:v>
      </x:c>
      <x:c r="L46" s="4" t="str">
        <x:v>Aracaju / SE</x:v>
      </x:c>
      <x:c r="M46" s="4" t="str">
        <x:v>Regulamento SOEA distingue realizadores da Speed, responsável pela produção técnica e operacional, chamada Organização.</x:v>
      </x:c>
      <x:c r="N46" s="4" t="str">
        <x:v>https://storagefileta.blob.core.windows.net/ticketagora/arquivos/evento/88337/45979881b54c4769bff9e8e7a59a4917639244614151082991.pdf</x:v>
      </x:c>
      <x:c r="O46" s="4" t="str">
        <x:v>https://abraceo.com.br/filiado/speed-producoes-e-eventos/</x:v>
      </x:c>
      <x:c r="P46" s="4" t="str">
        <x:v>https://business.roadrunners.run/assets/contas/abraceo/speed-producoes-e-eventos.png</x:v>
      </x:c>
      <x:c r="Q46" s="4" t="str">
        <x:v>https://business.roadrunners.run/administracao/contas/?conta_id=103&amp;tab=precadastro</x:v>
      </x:c>
    </x:row>
    <x:row r="47" ht="88" customHeight="1">
      <x:c r="A47" s="4" t="str">
        <x:v>SPIRIDON EVENTOS</x:v>
      </x:c>
      <x:c r="B47" s="4" t="str">
        <x:v>104</x:v>
      </x:c>
      <x:c r="C47" s="4" t="str">
        <x:v>Criado</x:v>
      </x:c>
      <x:c r="D47" s="4" t="str">
        <x:v>Pendente</x:v>
      </x:c>
      <x:c r="E47" s="4" t="str">
        <x:v>traven@spiridon.com.br</x:v>
      </x:c>
      <x:c r="F47" s="4" t="str">
        <x:v>JOÃO CARLOS TRAVEN</x:v>
      </x:c>
      <x:c r="G47" s="4" t="str">
        <x:v>(21) 2223-3073 (21) 9 9989-7298</x:v>
      </x:c>
      <x:c r="H47" s="8" t="str">
        <x:v>68596931000138</x:v>
      </x:c>
      <x:c r="I47" s="4" t="str">
        <x:v>ATIVA</x:v>
      </x:c>
      <x:c r="J47" s="4" t="str">
        <x:v>SPIRIDON PROMOCOES E EVENTOS LTDA.</x:v>
      </x:c>
      <x:c r="K47" s="4" t="str">
        <x:v>RUA FELIX PACHECO 150 BLOCO C APTO 102</x:v>
      </x:c>
      <x:c r="L47" s="4" t="str">
        <x:v>Rio de Janeiro / RJ</x:v>
      </x:c>
      <x:c r="M47" s="4" t="str">
        <x:v>Regulamento da prova identifica organização Dream e Spiridon. CNPJ e relação societária entre as marcas não presumidos.</x:v>
      </x:c>
      <x:c r="N47" s="4" t="str">
        <x:v>https://storagefileta.blob.core.windows.net/ticketagora/arquivos/evento/86940/f516816db9f146b29fe82d7ebe46e719639134928690831954.pdf</x:v>
      </x:c>
      <x:c r="O47" s="4" t="str">
        <x:v>https://abraceo.com.br/filiado/spiridon-eventos/</x:v>
      </x:c>
      <x:c r="P47" s="4" t="str">
        <x:v>https://business.roadrunners.run/assets/contas/abraceo/spiridon-eventos.jpg</x:v>
      </x:c>
      <x:c r="Q47" s="4" t="str">
        <x:v>https://business.roadrunners.run/administracao/contas/?conta_id=104&amp;tab=precadastro</x:v>
      </x:c>
    </x:row>
    <x:row r="48" ht="88" customHeight="1">
      <x:c r="A48" s="4" t="str">
        <x:v>Sports360º Eventos Esportivos</x:v>
      </x:c>
      <x:c r="B48" s="4" t="str">
        <x:v>105</x:v>
      </x:c>
      <x:c r="C48" s="4" t="str">
        <x:v>Criado</x:v>
      </x:c>
      <x:c r="D48" s="4" t="str">
        <x:v>Pendente</x:v>
      </x:c>
      <x:c r="E48" s="4" t="str">
        <x:v>contatosports360@gmail.com</x:v>
      </x:c>
      <x:c r="F48" s="4" t="str">
        <x:v>DANIEL</x:v>
      </x:c>
      <x:c r="G48" s="4" t="str">
        <x:v>(41) 9 9997-6155</x:v>
      </x:c>
      <x:c r="H48" s="8" t="str">
        <x:v>36050996000197</x:v>
      </x:c>
      <x:c r="I48" s="4" t="str">
        <x:v>ATIVA</x:v>
      </x:c>
      <x:c r="J48" s="4" t="str">
        <x:v>SPORTS360 CONSULTORIA E EVENTOS LTDA</x:v>
      </x:c>
      <x:c r="K48" s="4" t="str">
        <x:v>RUA ELVIS PRESLEY 195 CASA B COND IPE RES</x:v>
      </x:c>
      <x:c r="L48" s="4" t="str">
        <x:v>Curitiba / PR</x:v>
      </x:c>
      <x:c r="M48" s="4" t="str">
        <x:v>Site institucional descreve criação, planejamento, gerenciamento e execução de eventos esportivos.</x:v>
      </x:c>
      <x:c r="N48" s="4" t="str">
        <x:v>https://sports360.com.br/quem-somos/</x:v>
      </x:c>
      <x:c r="O48" s="4" t="str">
        <x:v>https://abraceo.com.br/filiado/sports360o-eventos-esportivos/</x:v>
      </x:c>
      <x:c r="P48" s="4" t="str">
        <x:v>https://business.roadrunners.run/assets/contas/abraceo/sports360o-eventos-esportivos.jpg</x:v>
      </x:c>
      <x:c r="Q48" s="4" t="str">
        <x:v>https://business.roadrunners.run/administracao/contas/?conta_id=105&amp;tab=precadastro</x:v>
      </x:c>
    </x:row>
    <x:row r="49" ht="88" customHeight="1">
      <x:c r="A49" s="4" t="str">
        <x:v>Taboada Runners</x:v>
      </x:c>
      <x:c r="B49" s="4" t="str">
        <x:v>106</x:v>
      </x:c>
      <x:c r="C49" s="4" t="str">
        <x:v>Criado</x:v>
      </x:c>
      <x:c r="D49" s="4" t="str">
        <x:v>Pendente</x:v>
      </x:c>
      <x:c r="E49" s="4" t="str">
        <x:v>thaystaboada@gmail.com</x:v>
      </x:c>
      <x:c r="F49" s="4" t="str">
        <x:v>Thays Taboada</x:v>
      </x:c>
      <x:c r="G49" s="4" t="str">
        <x:v>94 9160-7656</x:v>
      </x:c>
      <x:c r="H49" s="8" t="str">
        <x:v>54265106000146</x:v>
      </x:c>
      <x:c r="I49" s="4" t="str">
        <x:v>ATIVA</x:v>
      </x:c>
      <x:c r="J49" s="4" t="str">
        <x:v>Taboada Runners LTDA</x:v>
      </x:c>
      <x:c r="K49" s="4" t="str">
        <x:v>Rua Aparai, SN  Quadra026 Lote 034 Sala 01</x:v>
      </x:c>
      <x:c r="L49" s="4" t="str">
        <x:v>Parauapebas / PA</x:v>
      </x:c>
      <x:c r="M49" s="4" t="str">
        <x:v>Site institucional descreve serviço de organização de corridas de rua. Consulta indexada; acesso direto indisponível.</x:v>
      </x:c>
      <x:c r="N49" s="4" t="str">
        <x:v>https://www.taboadarunners.fit/</x:v>
      </x:c>
      <x:c r="O49" s="4" t="str">
        <x:v>https://abraceo.com.br/filiado/taboada-runners/</x:v>
      </x:c>
      <x:c r="P49" s="4" t="str">
        <x:v>https://business.roadrunners.run/assets/contas/abraceo/taboada-runners.jpg</x:v>
      </x:c>
      <x:c r="Q49" s="4" t="str">
        <x:v>https://business.roadrunners.run/administracao/contas/?conta_id=106&amp;tab=precadastro</x:v>
      </x:c>
    </x:row>
    <x:row r="50" ht="88" customHeight="1">
      <x:c r="A50" s="4" t="str">
        <x:v>To Goal Sports</x:v>
      </x:c>
      <x:c r="B50" s="4" t="str">
        <x:v>107</x:v>
      </x:c>
      <x:c r="C50" s="4" t="str">
        <x:v>Criado</x:v>
      </x:c>
      <x:c r="D50" s="4" t="str">
        <x:v>Pendente</x:v>
      </x:c>
      <x:c r="E50" s="4" t="str">
        <x:v>james@togoal.com.br</x:v>
      </x:c>
      <x:c r="F50" s="4" t="str">
        <x:v>JAMES JUNIOR</x:v>
      </x:c>
      <x:c r="G50" s="4" t="str">
        <x:v>(92) 9 8804-6725</x:v>
      </x:c>
      <x:c r="H50" s="8" t="str">
        <x:v>15471494000160</x:v>
      </x:c>
      <x:c r="I50" s="4" t="str">
        <x:v>ATIVA</x:v>
      </x:c>
      <x:c r="J50" s="4" t="str">
        <x:v>TO GOAL SPORTS VENTURES GESTAO ESPORTIVA LTDA</x:v>
      </x:c>
      <x:c r="K50" s="4" t="str">
        <x:v>RUA TEOFILO SAID 3 QD C CONJUNTO PARQU</x:v>
      </x:c>
      <x:c r="L50" s="4" t="str">
        <x:v>Manaus / AM</x:v>
      </x:c>
      <x:c r="M50" s="4" t="str">
        <x:v>Regulamento Casa das Correias distingue realizador da organizadora To Goal Sports.</x:v>
      </x:c>
      <x:c r="N50" s="4" t="str">
        <x:v>https://storagefileta.blob.core.windows.net/ticketagora/arquivos/evento/88332/5a8cf3ef860f49ae9188d7f0f2f15cf7639247184363470373.pdf</x:v>
      </x:c>
      <x:c r="O50" s="4" t="str">
        <x:v>https://abraceo.com.br/filiado/to-goal-sports/</x:v>
      </x:c>
      <x:c r="P50" s="4" t="str">
        <x:v>https://business.roadrunners.run/assets/contas/abraceo/to-goal-sports.jpg</x:v>
      </x:c>
      <x:c r="Q50" s="4" t="str">
        <x:v>https://business.roadrunners.run/administracao/contas/?conta_id=107&amp;tab=precadastro</x:v>
      </x:c>
    </x:row>
    <x:row r="51" ht="88" customHeight="1">
      <x:c r="A51" s="4" t="str">
        <x:v>TTK Marketing</x:v>
      </x:c>
      <x:c r="B51" s="4" t="str">
        <x:v>108</x:v>
      </x:c>
      <x:c r="C51" s="4" t="str">
        <x:v>Criado</x:v>
      </x:c>
      <x:c r="D51" s="4" t="str">
        <x:v>Pendente</x:v>
      </x:c>
      <x:c r="E51" s="4" t="str">
        <x:v>fabio.avelar@ttkmarketing.com.br</x:v>
      </x:c>
      <x:c r="F51" s="4" t="str">
        <x:v>Fabio Avelar</x:v>
      </x:c>
      <x:c r="G51" s="4" t="str">
        <x:v>(31) 993041144</x:v>
      </x:c>
      <x:c r="H51" s="8" t="str">
        <x:v>06103531000196</x:v>
      </x:c>
      <x:c r="I51" s="4" t="str">
        <x:v>ATIVA</x:v>
      </x:c>
      <x:c r="J51" s="4" t="str">
        <x:v>TATICA MARKETING ESPORTIVO LTDA</x:v>
      </x:c>
      <x:c r="K51" s="4" t="str">
        <x:v>AVENIDA STA MARINA 2148 ANEXO 2164</x:v>
      </x:c>
      <x:c r="L51" s="4" t="str">
        <x:v>São Paulo / SP</x:v>
      </x:c>
      <x:c r="M51" s="4" t="str">
        <x:v>Site institucional declara organização e realização de eventos esportivos, incluindo corridas de rua.</x:v>
      </x:c>
      <x:c r="N51" s="4" t="str">
        <x:v>https://ttkmarketing.com.br/</x:v>
      </x:c>
      <x:c r="O51" s="4" t="str">
        <x:v>https://abraceo.com.br/filiado/ttk-marketing/</x:v>
      </x:c>
      <x:c r="P51" s="4" t="str">
        <x:v>https://business.roadrunners.run/assets/contas/abraceo/ttk-marketing.jpg</x:v>
      </x:c>
      <x:c r="Q51" s="4" t="str">
        <x:v>https://business.roadrunners.run/administracao/contas/?conta_id=108&amp;tab=precadastro</x:v>
      </x:c>
    </x:row>
    <x:row r="52" ht="88" customHeight="1">
      <x:c r="A52" s="4" t="str">
        <x:v>WX ESPORTES E NEGÓCIOS</x:v>
      </x:c>
      <x:c r="B52" s="4" t="str">
        <x:v>109</x:v>
      </x:c>
      <x:c r="C52" s="4" t="str">
        <x:v>Criado</x:v>
      </x:c>
      <x:c r="D52" s="4" t="str">
        <x:v>Pendente</x:v>
      </x:c>
      <x:c r="E52" s="4" t="str">
        <x:v>renatosalvador@wxesportes.com.br</x:v>
      </x:c>
      <x:c r="F52" s="4" t="str"/>
      <x:c r="G52" s="4" t="str">
        <x:v>(11) 92184-5373</x:v>
      </x:c>
      <x:c r="H52" s="8" t="str">
        <x:v>28963910000199</x:v>
      </x:c>
      <x:c r="I52" s="4" t="str">
        <x:v>ATIVA</x:v>
      </x:c>
      <x:c r="J52" s="4" t="str">
        <x:v>WX ESPORTES E NEGOCIOS LTDA</x:v>
      </x:c>
      <x:c r="K52" s="4" t="str">
        <x:v>ALAMEDA RIO NEGRO 1030 COND STADIUM - ESCRIT 206</x:v>
      </x:c>
      <x:c r="L52" s="4" t="str">
        <x:v>Barueri / SP</x:v>
      </x:c>
      <x:c r="M52" s="4" t="str">
        <x:v>Site oficial descreve organização e realização de eventos, planejamento, logística e coordenação operacional.</x:v>
      </x:c>
      <x:c r="N52" s="4" t="str">
        <x:v>https://wxesportes.com.br/</x:v>
      </x:c>
      <x:c r="O52" s="4" t="str">
        <x:v>https://abraceo.com.br/filiado/wx-esportes-e-negocios/</x:v>
      </x:c>
      <x:c r="P52" s="4" t="str">
        <x:v>https://business.roadrunners.run/assets/contas/abraceo/wx-esportes-e-negocios.png</x:v>
      </x:c>
      <x:c r="Q52" s="4" t="str">
        <x:v>https://business.roadrunners.run/administracao/contas/?conta_id=109&amp;tab=precadastro</x:v>
      </x:c>
    </x:row>
    <x:row r="53" ht="88" customHeight="1">
      <x:c r="A53" s="4" t="str">
        <x:v>ZBR EVENTS</x:v>
      </x:c>
      <x:c r="B53" s="4" t="str">
        <x:v>110</x:v>
      </x:c>
      <x:c r="C53" s="4" t="str">
        <x:v>Criado</x:v>
      </x:c>
      <x:c r="D53" s="4" t="str">
        <x:v>Pendente</x:v>
      </x:c>
      <x:c r="E53" s="4" t="str">
        <x:v>zbrevents@gmail.com</x:v>
      </x:c>
      <x:c r="F53" s="4" t="str">
        <x:v>Rafael Zobaran</x:v>
      </x:c>
      <x:c r="G53" s="4" t="str">
        <x:v>11 99548-4720</x:v>
      </x:c>
      <x:c r="H53" s="8" t="str">
        <x:v>13634285000164</x:v>
      </x:c>
      <x:c r="I53" s="4" t="str">
        <x:v>ATIVA</x:v>
      </x:c>
      <x:c r="J53" s="4" t="str">
        <x:v>ZBR EVENTS LTDA</x:v>
      </x:c>
      <x:c r="K53" s="4" t="str">
        <x:v>RUA JOAO FRANCISCO DE MOURA 142 CASA 19</x:v>
      </x:c>
      <x:c r="L53" s="4" t="str">
        <x:v>SÃO PAULO / SP</x:v>
      </x:c>
      <x:c r="M53" s="4" t="str">
        <x:v>Regulamento oficial Guarani Race identifica ZBR Events como empresa organizadora.</x:v>
      </x:c>
      <x:c r="N53" s="4" t="str">
        <x:v>https://zbrevents.com.br/guaranirace/pita/regulamento</x:v>
      </x:c>
      <x:c r="O53" s="4" t="str">
        <x:v>https://abraceo.com.br/filiado/zbr-events/</x:v>
      </x:c>
      <x:c r="P53" s="4" t="str">
        <x:v>https://business.roadrunners.run/assets/contas/abraceo/zbr-events.jpg</x:v>
      </x:c>
      <x:c r="Q53" s="4" t="str">
        <x:v>https://business.roadrunners.run/administracao/contas/?conta_id=110&amp;tab=precadastro</x:v>
      </x:c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</x:sheetData>
  <x:pageMargins left="0.7" right="0.7" top="0.75" bottom="0.75" header="0.3" footer="0.3"/>
  <x:tableParts count="1">
    <x:tablePart xmlns:r="http://schemas.openxmlformats.org/officeDocument/2006/relationships" r:id="Raf0f1ad6a4b9480f"/>
  </x:tableParts>
</x:worksheet>
</file>

<file path=xl/worksheets/sheet2.xml><?xml version="1.0" encoding="utf-8"?>
<x:worksheet xmlns:x="http://schemas.openxmlformats.org/spreadsheetml/2006/main">
  <x:sheetPr>
    <x:tabColor rgb="FF253C59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80" hidden="0" customWidth="1"/>
    <x:col min="3" max="3" width="30" hidden="0" customWidth="1"/>
    <x:col min="4" max="4" width="36" hidden="0" customWidth="1"/>
    <x:col min="5" max="5" width="22" hidden="0" customWidth="1"/>
    <x:col min="6" max="6" width="23" hidden="0" customWidth="1"/>
    <x:col min="7" max="7" width="84" hidden="0" customWidth="1"/>
    <x:col min="8" max="8" width="6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Empresas separadas para confirmação</x:v>
      </x:c>
      <x:c r="B2" s="1"/>
      <x:c r="C2" s="1"/>
      <x:c r="D2" s="1"/>
      <x:c r="E2" s="1"/>
      <x:c r="F2" s="1"/>
      <x:c r="G2" s="1"/>
      <x:c r="H2" s="1"/>
    </x:row>
    <x:row r="3">
      <x:c r="A3" s="1" t="str">
        <x:v>Nenhuma conta criada neste lote para estas empresas. MP3 Soluções pode ter relação com a conta MP3 Marketing #5.</x:v>
      </x:c>
      <x:c r="B3" s="1"/>
      <x:c r="C3" s="1"/>
      <x:c r="D3" s="1"/>
      <x:c r="E3" s="1"/>
      <x:c r="F3" s="1"/>
      <x:c r="G3" s="1"/>
      <x:c r="H3" s="1"/>
    </x:row>
    <x:row r="4">
      <x:c r="A4" s="1" t="str">
        <x:v>Empresas pendentes</x:v>
      </x:c>
      <x:c r="B4" s="1" t="n">
        <x:f>COUNTA(A7:A14)</x:f>
        <x:v>8</x:v>
      </x:c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32" customHeight="1">
      <x:c r="A6" s="7" t="str">
        <x:v>Empresa</x:v>
      </x:c>
      <x:c r="B6" s="7" t="str">
        <x:v>Motivo / próxima confirmação</x:v>
      </x:c>
      <x:c r="C6" s="7" t="str">
        <x:v>Contato público</x:v>
      </x:c>
      <x:c r="D6" s="7" t="str">
        <x:v>E-mail público</x:v>
      </x:c>
      <x:c r="E6" s="7" t="str">
        <x:v>CNPJ pesquisado</x:v>
      </x:c>
      <x:c r="F6" s="7" t="str">
        <x:v>Situação pesquisada</x:v>
      </x:c>
      <x:c r="G6" s="7" t="str">
        <x:v>Fonte consultada</x:v>
      </x:c>
      <x:c r="H6" s="7" t="str">
        <x:v>Fonte ABRACEO</x:v>
      </x:c>
    </x:row>
    <x:row r="7" ht="88" customHeight="1">
      <x:c r="A7" s="4" t="str">
        <x:v>Amigos do Horto Eventos</x:v>
      </x:c>
      <x:c r="B7" s="4" t="str">
        <x:v>Regulamento traz contato técnico e reembolso da Amigos do Horto, mas não identifica nominalmente o responsável pela organização; confirmar papel além da promoção do shopping.</x:v>
      </x:c>
      <x:c r="C7" s="4" t="str">
        <x:v>DIMAS ALVARES</x:v>
      </x:c>
      <x:c r="D7" s="4" t="str">
        <x:v>amigosdohorto@hotmail.com</x:v>
      </x:c>
      <x:c r="E7" s="8" t="str">
        <x:v>49309402000161</x:v>
      </x:c>
      <x:c r="F7" s="4" t="str">
        <x:v>ATIVA</x:v>
      </x:c>
      <x:c r="G7" s="4" t="str">
        <x:v>https://storagefileta.blob.core.windows.net/ticketagora/arquivos/evento/88357/6b98b02bbe274e6ebc5758cf7e788fd3639245634275113111.pdf</x:v>
      </x:c>
      <x:c r="H7" s="4" t="str">
        <x:v>https://abraceo.com.br/filiado/amigos-do-horto-eventos/</x:v>
      </x:c>
    </x:row>
    <x:row r="8" ht="88" customHeight="1">
      <x:c r="A8" s="4" t="str">
        <x:v>CronusTec</x:v>
      </x:c>
      <x:c r="B8" s="4" t="str">
        <x:v>Site consultado confirma serviços de cronometragem. Não foi obtida confirmação suficiente de responsabilidade como organizadora.</x:v>
      </x:c>
      <x:c r="C8" s="4" t="str">
        <x:v>Alex Alexandre de Oliveira Silva</x:v>
      </x:c>
      <x:c r="D8" s="4" t="str">
        <x:v>cronustectecnologia@gmail.com</x:v>
      </x:c>
      <x:c r="E8" s="8" t="str">
        <x:v>55417996000127</x:v>
      </x:c>
      <x:c r="F8" s="4" t="str">
        <x:v>ATIVA</x:v>
      </x:c>
      <x:c r="G8" s="4" t="str">
        <x:v>https://www.cronusteccorridas.com.br/</x:v>
      </x:c>
      <x:c r="H8" s="4" t="str">
        <x:v>https://abraceo.com.br/filiado/cronustec/</x:v>
      </x:c>
    </x:row>
    <x:row r="9" ht="88" customHeight="1">
      <x:c r="A9" s="4" t="str">
        <x:v>MMB Eventos Esportivos</x:v>
      </x:c>
      <x:c r="B9" s="4" t="str">
        <x:v>Regulamento distingue realização MMB da organização Instituto Meninos do Pôr do Sol. Confirmar papel operacional e titular responsável antes de criar conta de organizador.</x:v>
      </x:c>
      <x:c r="C9" s="4" t="str">
        <x:v>Zeneide Sousa</x:v>
      </x:c>
      <x:c r="D9" s="4" t="str">
        <x:v>elias.sousa@gmail.com</x:v>
      </x:c>
      <x:c r="E9" s="8" t="str">
        <x:v>67558764000178</x:v>
      </x:c>
      <x:c r="F9" s="4" t="str">
        <x:v>ATIVA</x:v>
      </x:c>
      <x:c r="G9" s="4" t="str">
        <x:v>https://storagefileta.blob.core.windows.net/ticketagora/arquivos/evento/74828/4e91b6e5359b4b4389243a2939d996ff639199082801291559.pdf</x:v>
      </x:c>
      <x:c r="H9" s="4" t="str">
        <x:v>https://abraceo.com.br/filiado/mmb-eventos-esportivos/</x:v>
      </x:c>
    </x:row>
    <x:row r="10" ht="88" customHeight="1">
      <x:c r="A10" s="4" t="str">
        <x:v>MP3 SOLUÇÕES</x:v>
      </x:c>
      <x:c r="B10" s="4" t="str">
        <x:v>Possível relação com conta existente MP3 Marketing (id 5), com CNPJ distinto. Não criar duplicata nem reaproveitar conta sem confirmação de identidade.</x:v>
      </x:c>
      <x:c r="C10" s="4" t="str">
        <x:v>DOUGLAS</x:v>
      </x:c>
      <x:c r="D10" s="4" t="str">
        <x:v>douglas@mp3promocoes.com.br</x:v>
      </x:c>
      <x:c r="E10" s="8" t="str">
        <x:v>11194903000177</x:v>
      </x:c>
      <x:c r="F10" s="4" t="str">
        <x:v>ATIVA</x:v>
      </x:c>
      <x:c r="G10" s="4" t="str">
        <x:v>https://storagefileta.blob.core.windows.net/ticketagora/arquivos/evento/74554/87f2c9e413184fe5965f369a110f3f0c639260928237238497.pdf</x:v>
      </x:c>
      <x:c r="H10" s="4" t="str">
        <x:v>https://abraceo.com.br/filiado/mp3-solucoes/</x:v>
      </x:c>
    </x:row>
    <x:row r="11" ht="88" customHeight="1">
      <x:c r="A11" s="4" t="str">
        <x:v>Nk Sports</x:v>
      </x:c>
      <x:c r="B11" s="4" t="str">
        <x:v>Referências de terceiros indicam organização da Corrida Santa Casa Araraquara; página primária de inscrição não disponibilizou informação suficiente nesta revisão.</x:v>
      </x:c>
      <x:c r="C11" s="4" t="str">
        <x:v>Renê Kennerly Nascimento</x:v>
      </x:c>
      <x:c r="D11" s="4" t="str">
        <x:v>renekennerly@gmail.com</x:v>
      </x:c>
      <x:c r="E11" s="8" t="str">
        <x:v>47823167000116</x:v>
      </x:c>
      <x:c r="F11" s="4" t="str">
        <x:v>ATIVA</x:v>
      </x:c>
      <x:c r="G11" s="4" t="str">
        <x:v>https://abraceo.com.br/filiado/nk-sports/</x:v>
      </x:c>
      <x:c r="H11" s="4" t="str">
        <x:v>https://abraceo.com.br/filiado/nk-sports/</x:v>
      </x:c>
    </x:row>
    <x:row r="12" ht="88" customHeight="1">
      <x:c r="A12" s="4" t="str">
        <x:v>Premium</x:v>
      </x:c>
      <x:c r="B12" s="4" t="str">
        <x:v>Site institucional indisponível e fontes localizadas insuficientes para confirmar atuação e identidade da organizadora.</x:v>
      </x:c>
      <x:c r="C12" s="4" t="str">
        <x:v>ROBERTA DESSAUNE CARLOS MOURA</x:v>
      </x:c>
      <x:c r="D12" s="4" t="str">
        <x:v>roberta@premium.srv.br / bruno@premium.srv.br</x:v>
      </x:c>
      <x:c r="E12" s="8" t="str">
        <x:v>05841174000109</x:v>
      </x:c>
      <x:c r="F12" s="4" t="str">
        <x:v>ATIVA</x:v>
      </x:c>
      <x:c r="G12" s="4" t="str">
        <x:v>http://www.premium.srv.br</x:v>
      </x:c>
      <x:c r="H12" s="4" t="str">
        <x:v>https://abraceo.com.br/filiado/premium/</x:v>
      </x:c>
    </x:row>
    <x:row r="13" ht="88" customHeight="1">
      <x:c r="A13" s="4" t="str">
        <x:v>Soul + esportes</x:v>
      </x:c>
      <x:c r="B13" s="4" t="str">
        <x:v>Regulamentos trazem e-mail de produção e atendimento. Confirmar a responsabilidade pela organização antes de atribuir conta e provas à marca.</x:v>
      </x:c>
      <x:c r="C13" s="4" t="str">
        <x:v>FABIO NEDER</x:v>
      </x:c>
      <x:c r="D13" s="4" t="str">
        <x:v>fabio@soulmaisesportes.com.br</x:v>
      </x:c>
      <x:c r="E13" s="8" t="str">
        <x:v>60933014000190</x:v>
      </x:c>
      <x:c r="F13" s="4" t="str">
        <x:v>ATIVA</x:v>
      </x:c>
      <x:c r="G13" s="4" t="str">
        <x:v>https://storagefileta.blob.core.windows.net/ticketagora/arquivos/evento/86277/26143710688349d1b3c12bcc5eb73a18639093642461787447.pdf</x:v>
      </x:c>
      <x:c r="H13" s="4" t="str">
        <x:v>https://abraceo.com.br/filiado/soulmais/</x:v>
      </x:c>
    </x:row>
    <x:row r="14" ht="88" customHeight="1">
      <x:c r="A14" s="4" t="str">
        <x:v>TM4 SPORTS &amp; BUSINESS</x:v>
      </x:c>
      <x:c r="B14" s="4" t="str">
        <x:v>Referência localizada para TM4/Thiago Mansur não foi conciliada com Thiago de Oliveira informado pela ABRACEO. Confirmar identidade e responsável atual.</x:v>
      </x:c>
      <x:c r="C14" s="4" t="str">
        <x:v>THIAGO DE OLIVEIRA</x:v>
      </x:c>
      <x:c r="D14" s="4" t="str">
        <x:v>thiago@tm4.business</x:v>
      </x:c>
      <x:c r="E14" s="8" t="str">
        <x:v>28406712000124</x:v>
      </x:c>
      <x:c r="F14" s="4" t="str">
        <x:v>ATIVA</x:v>
      </x:c>
      <x:c r="G14" s="4" t="str">
        <x:v>https://abraceo.com.br/filiado/tm4-sports-business/</x:v>
      </x:c>
      <x:c r="H14" s="4" t="str">
        <x:v>https://abraceo.com.br/filiado/tm4-sports-business/</x:v>
      </x:c>
    </x:row>
    <x:row r="15">
      <x:c r="A15" s="1"/>
      <x:c r="B15" s="1"/>
      <x:c r="C15" s="1"/>
      <x:c r="D15" s="1"/>
      <x:c r="E15" s="1"/>
      <x:c r="F15" s="1"/>
      <x:c r="G15" s="1"/>
      <x:c r="H15" s="1"/>
    </x:row>
  </x:sheetData>
  <x:pageMargins left="0.7" right="0.7" top="0.75" bottom="0.75" header="0.3" footer="0.3"/>
  <x:tableParts count="1">
    <x:tablePart xmlns:r="http://schemas.openxmlformats.org/officeDocument/2006/relationships" r:id="Rf3e1e237e0f24d53"/>
  </x:tableParts>
</x:worksheet>
</file>

<file path=xl/worksheets/sheet3.xml><?xml version="1.0" encoding="utf-8"?>
<x:worksheet xmlns:x="http://schemas.openxmlformats.org/spreadsheetml/2006/main">
  <x:sheetPr>
    <x:tabColor rgb="FF253C59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46" hidden="0" customWidth="1"/>
    <x:col min="3" max="3" width="16" hidden="0" customWidth="1"/>
    <x:col min="4" max="4" width="12" hidden="0" customWidth="1"/>
    <x:col min="5" max="5" width="19" hidden="0" customWidth="1"/>
    <x:col min="6" max="6" width="30" hidden="0" customWidth="1"/>
    <x:col min="7" max="7" width="78" hidden="0" customWidth="1"/>
    <x:col min="8" max="8" width="92" hidden="0" customWidth="1"/>
    <x:col min="9" max="9" width="7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Eventos futuros revisados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Corte: início após 11/10/2026. Datas e vínculos existentes conferidos no Business. Casos duvidosos permanecem sem associação.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Vínculos confirmados</x:v>
      </x:c>
      <x:c r="B4" s="1" t="n">
        <x:f>COUNTIFS(E7:E90,"CONFIRMADO")</x:f>
        <x:v>47</x:v>
      </x:c>
      <x:c r="C4" s="1"/>
      <x:c r="D4" s="1" t="str">
        <x:v>Pendentes</x:v>
      </x:c>
      <x:c r="E4" s="1" t="n">
        <x:f>COUNTIFS(E7:E90,"PENDENTE")</x:f>
        <x:v>37</x:v>
      </x:c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2" customHeight="1">
      <x:c r="A6" s="7" t="str">
        <x:v>Empresa</x:v>
      </x:c>
      <x:c r="B6" s="7" t="str">
        <x:v>Evento</x:v>
      </x:c>
      <x:c r="C6" s="7" t="str">
        <x:v>Data inicial</x:v>
      </x:c>
      <x:c r="D6" s="7" t="str">
        <x:v>ID evento</x:v>
      </x:c>
      <x:c r="E6" s="7" t="str">
        <x:v>Revisão</x:v>
      </x:c>
      <x:c r="F6" s="7" t="str">
        <x:v>Vínculo no Business</x:v>
      </x:c>
      <x:c r="G6" s="7" t="str">
        <x:v>Motivo</x:v>
      </x:c>
      <x:c r="H6" s="7" t="str">
        <x:v>Fonte de confirmação</x:v>
      </x:c>
      <x:c r="I6" s="7" t="str">
        <x:v>Evento Business</x:v>
      </x:c>
    </x:row>
    <x:row r="7" ht="88" customHeight="1">
      <x:c r="A7" s="4" t="str">
        <x:v>Amigos do Horto Eventos</x:v>
      </x:c>
      <x:c r="B7" s="4" t="str">
        <x:v>CORRIDA KIDS TRIMAIS PLACES 6º EDIÇÃO</x:v>
      </x:c>
      <x:c r="C7" s="12" t="d">
        <x:v>2026-10-12T12:00:00.000Z</x:v>
      </x:c>
      <x:c r="D7" s="13" t="str">
        <x:v>47688</x:v>
      </x:c>
      <x:c r="E7" s="4" t="str">
        <x:v>PENDENTE</x:v>
      </x:c>
      <x:c r="F7" s="4" t="str">
        <x:v>Não relacionado</x:v>
      </x:c>
      <x:c r="G7" s="4" t="str">
        <x:v>Não foi obtida confirmação suficiente do organizador responsável e da edição futura na fonte consultada.</x:v>
      </x:c>
      <x:c r="H7" s="4" t="str">
        <x:v>https://storagefileta.blob.core.windows.net/ticketagora/arquivos/evento/88357/6b98b02bbe274e6ebc5758cf7e788fd3639245634275113111.pdf</x:v>
      </x:c>
      <x:c r="I7" s="4" t="str">
        <x:v>https://business.roadrunners.run/eventos/?id_evento=47688</x:v>
      </x:c>
    </x:row>
    <x:row r="8" ht="88" customHeight="1">
      <x:c r="A8" s="4" t="str">
        <x:v>APUANA ESPORTES</x:v>
      </x:c>
      <x:c r="B8" s="4" t="str">
        <x:v>UBERLÂNDIA 10 MILHAS 2026</x:v>
      </x:c>
      <x:c r="C8" s="12" t="d">
        <x:v>2026-10-25T12:00:00.000Z</x:v>
      </x:c>
      <x:c r="D8" s="13" t="str">
        <x:v>46947</x:v>
      </x:c>
      <x:c r="E8" s="4" t="str">
        <x:v>PENDENTE</x:v>
      </x:c>
      <x:c r="F8" s="4" t="str">
        <x:v>Não relacionado</x:v>
      </x:c>
      <x:c r="G8" s="4" t="str">
        <x:v>Não foi obtida confirmação suficiente do organizador responsável e da edição futura na fonte consultada.</x:v>
      </x:c>
      <x:c r="H8" s="4" t="str">
        <x:v>https://www.ticketsports.com.br/e/UBERL%C3%82NDIA+10+MILHAS+2026-88209</x:v>
      </x:c>
      <x:c r="I8" s="4" t="str">
        <x:v>https://business.roadrunners.run/eventos/?id_evento=46947</x:v>
      </x:c>
    </x:row>
    <x:row r="9" ht="88" customHeight="1">
      <x:c r="A9" s="4" t="str">
        <x:v>AR2 Eventos</x:v>
      </x:c>
      <x:c r="B9" s="4" t="str">
        <x:v>RIO MARAVILHA SEASONS - 2026</x:v>
      </x:c>
      <x:c r="C9" s="12" t="d">
        <x:v>2026-12-27T12:00:00.000Z</x:v>
      </x:c>
      <x:c r="D9" s="13" t="str">
        <x:v>46873</x:v>
      </x:c>
      <x:c r="E9" s="4" t="str">
        <x:v>CONFIRMADO</x:v>
      </x:c>
      <x:c r="F9" s="4" t="str">
        <x:v>Relacionado</x:v>
      </x:c>
      <x:c r="G9" s="4" t="str">
        <x:v>Organizador responsável e edição futura confirmados na fonte.</x:v>
      </x:c>
      <x:c r="H9" s="4" t="str">
        <x:v>https://esportecorrida.com.br/upload_diversos/20_08_2026_19_14_09.pdf</x:v>
      </x:c>
      <x:c r="I9" s="4" t="str">
        <x:v>https://business.roadrunners.run/eventos/?id_evento=46873</x:v>
      </x:c>
    </x:row>
    <x:row r="10" ht="88" customHeight="1">
      <x:c r="A10" s="4" t="str">
        <x:v>AR2 Eventos</x:v>
      </x:c>
      <x:c r="B10" s="4" t="str">
        <x:v>YUP STAR RUN</x:v>
      </x:c>
      <x:c r="C10" s="12" t="d">
        <x:v>2026-12-20T12:00:00.000Z</x:v>
      </x:c>
      <x:c r="D10" s="13" t="str">
        <x:v>46047</x:v>
      </x:c>
      <x:c r="E10" s="4" t="str">
        <x:v>CONFIRMADO</x:v>
      </x:c>
      <x:c r="F10" s="4" t="str">
        <x:v>Relacionado</x:v>
      </x:c>
      <x:c r="G10" s="4" t="str">
        <x:v>Organizador responsável e edição futura confirmados na fonte.</x:v>
      </x:c>
      <x:c r="H10" s="4" t="str">
        <x:v>https://storagefileta.blob.core.windows.net/ticketagora/arquivos/evento/87975/96d81cdde291450a86619cb5d3d50c46639213508029932129.pdf</x:v>
      </x:c>
      <x:c r="I10" s="4" t="str">
        <x:v>https://business.roadrunners.run/eventos/?id_evento=46047</x:v>
      </x:c>
    </x:row>
    <x:row r="11" ht="88" customHeight="1">
      <x:c r="A11" s="4" t="str">
        <x:v>AR2 Eventos</x:v>
      </x:c>
      <x:c r="B11" s="4" t="str">
        <x:v>CIRCUITO DOS ELEMENTOS - ETAPA AR 2026</x:v>
      </x:c>
      <x:c r="C11" s="12" t="d">
        <x:v>2026-11-15T12:00:00.000Z</x:v>
      </x:c>
      <x:c r="D11" s="13" t="str">
        <x:v>47453</x:v>
      </x:c>
      <x:c r="E11" s="4" t="str">
        <x:v>CONFIRMADO</x:v>
      </x:c>
      <x:c r="F11" s="4" t="str">
        <x:v>Relacionado</x:v>
      </x:c>
      <x:c r="G11" s="4" t="str">
        <x:v>Organizador responsável e edição futura confirmados na fonte.</x:v>
      </x:c>
      <x:c r="H11" s="4" t="str">
        <x:v>https://storagefileta.blob.core.windows.net/ticketagora/arquivos/evento/88342/73c1582645014d39b1008c2c6914d5ab639244572444115557.pdf</x:v>
      </x:c>
      <x:c r="I11" s="4" t="str">
        <x:v>https://business.roadrunners.run/eventos/?id_evento=47453</x:v>
      </x:c>
    </x:row>
    <x:row r="12" ht="88" customHeight="1">
      <x:c r="A12" s="4" t="str">
        <x:v>AR2 Eventos</x:v>
      </x:c>
      <x:c r="B12" s="4" t="str">
        <x:v>CORRIDA E CAMINHADA RIO NIGHT RUN</x:v>
      </x:c>
      <x:c r="C12" s="12" t="d">
        <x:v>2026-11-07T12:00:00.000Z</x:v>
      </x:c>
      <x:c r="D12" s="13" t="str">
        <x:v>47780</x:v>
      </x:c>
      <x:c r="E12" s="4" t="str">
        <x:v>CONFIRMADO</x:v>
      </x:c>
      <x:c r="F12" s="4" t="str">
        <x:v>Relacionado</x:v>
      </x:c>
      <x:c r="G12" s="4" t="str">
        <x:v>Organizador responsável e edição futura confirmados na fonte.</x:v>
      </x:c>
      <x:c r="H12" s="4" t="str">
        <x:v>https://esportecorrida.com.br/upload_diversos/14_09_2026_17_58_20.pdf</x:v>
      </x:c>
      <x:c r="I12" s="4" t="str">
        <x:v>https://business.roadrunners.run/eventos/?id_evento=47780</x:v>
      </x:c>
    </x:row>
    <x:row r="13" ht="88" customHeight="1">
      <x:c r="A13" s="4" t="str">
        <x:v>AR2 Eventos</x:v>
      </x:c>
      <x:c r="B13" s="4" t="str">
        <x:v>RIO MARAVILHA 2026 - ETAPA PRIMAVERA</x:v>
      </x:c>
      <x:c r="C13" s="12" t="d">
        <x:v>2026-10-18T12:00:00.000Z</x:v>
      </x:c>
      <x:c r="D13" s="13" t="str">
        <x:v>45894</x:v>
      </x:c>
      <x:c r="E13" s="4" t="str">
        <x:v>CONFIRMADO</x:v>
      </x:c>
      <x:c r="F13" s="4" t="str">
        <x:v>Relacionado</x:v>
      </x:c>
      <x:c r="G13" s="4" t="str">
        <x:v>Organizador responsável e edição futura confirmados na fonte.</x:v>
      </x:c>
      <x:c r="H13" s="4" t="str">
        <x:v>https://esportecorrida.com.br/upload_diversos/03_08_2026_09_41_37.pdf</x:v>
      </x:c>
      <x:c r="I13" s="4" t="str">
        <x:v>https://business.roadrunners.run/eventos/?id_evento=45894</x:v>
      </x:c>
    </x:row>
    <x:row r="14" ht="88" customHeight="1">
      <x:c r="A14" s="4" t="str">
        <x:v>Avatar</x:v>
      </x:c>
      <x:c r="B14" s="4" t="str">
        <x:v>CIRCUITO OSCAR 2026-2027 - 2ª ETAPA - SÃO JOSÉ DOS CAMPOS</x:v>
      </x:c>
      <x:c r="C14" s="12" t="d">
        <x:v>2026-11-29T12:00:00.000Z</x:v>
      </x:c>
      <x:c r="D14" s="13" t="str">
        <x:v>42869</x:v>
      </x:c>
      <x:c r="E14" s="4" t="str">
        <x:v>PENDENTE</x:v>
      </x:c>
      <x:c r="F14" s="4" t="str">
        <x:v>Não relacionado</x:v>
      </x:c>
      <x:c r="G14" s="4" t="str">
        <x:v>Não foi obtida confirmação suficiente do organizador responsável e da edição futura na fonte consultada.</x:v>
      </x:c>
      <x:c r="H14" s="4" t="str">
        <x:v>https://www.ticketsports.com.br/e/CIRCUITO+OSCAR+2026-2027+-+2%C2%AA+ETAPA+-+S%C3%83O+JOS%C3%89+DOS+CAMPOS-86352</x:v>
      </x:c>
      <x:c r="I14" s="4" t="str">
        <x:v>https://business.roadrunners.run/eventos/?id_evento=42869</x:v>
      </x:c>
    </x:row>
    <x:row r="15" ht="88" customHeight="1">
      <x:c r="A15" s="4" t="str">
        <x:v>CAPA EVENTOS</x:v>
      </x:c>
      <x:c r="B15" s="4" t="str">
        <x:v>MARATONA DE LONDRINA 2027</x:v>
      </x:c>
      <x:c r="C15" s="12" t="d">
        <x:v>2027-07-04T12:00:00.000Z</x:v>
      </x:c>
      <x:c r="D15" s="13" t="str">
        <x:v>45279</x:v>
      </x:c>
      <x:c r="E15" s="4" t="str">
        <x:v>CONFIRMADO</x:v>
      </x:c>
      <x:c r="F15" s="4" t="str">
        <x:v>Relacionado</x:v>
      </x:c>
      <x:c r="G15" s="4" t="str">
        <x:v>Organizador responsável e edição futura confirmados na fonte.</x:v>
      </x:c>
      <x:c r="H15" s="4" t="str">
        <x:v>https://storagefileta.blob.core.windows.net/ticketagora/arquivos/evento/87777/a2d7aeb905174856ad3a0ba55d431fbd639198757732537724.pdf</x:v>
      </x:c>
      <x:c r="I15" s="4" t="str">
        <x:v>https://business.roadrunners.run/eventos/?id_evento=45279</x:v>
      </x:c>
    </x:row>
    <x:row r="16" ht="88" customHeight="1">
      <x:c r="A16" s="4" t="str">
        <x:v>CAPA EVENTOS</x:v>
      </x:c>
      <x:c r="B16" s="4" t="str">
        <x:v>VALE VERDE RUN 2026</x:v>
      </x:c>
      <x:c r="C16" s="12" t="d">
        <x:v>2026-12-13T12:00:00.000Z</x:v>
      </x:c>
      <x:c r="D16" s="13" t="str">
        <x:v>46883</x:v>
      </x:c>
      <x:c r="E16" s="4" t="str">
        <x:v>CONFIRMADO</x:v>
      </x:c>
      <x:c r="F16" s="4" t="str">
        <x:v>Relacionado</x:v>
      </x:c>
      <x:c r="G16" s="4" t="str">
        <x:v>Organizador responsável e edição futura confirmados na fonte.</x:v>
      </x:c>
      <x:c r="H16" s="4" t="str">
        <x:v>https://storagefileta.blob.core.windows.net/ticketagora/arquivos/evento/88125/002e95e5a8704b77a366773f1c3cb37f639227406028786501.pdf</x:v>
      </x:c>
      <x:c r="I16" s="4" t="str">
        <x:v>https://business.roadrunners.run/eventos/?id_evento=46883</x:v>
      </x:c>
    </x:row>
    <x:row r="17" ht="88" customHeight="1">
      <x:c r="A17" s="4" t="str">
        <x:v>CAPA EVENTOS</x:v>
      </x:c>
      <x:c r="B17" s="4" t="str">
        <x:v>22ª PROVA PEDESTRE CIDADE DE LONDRINA</x:v>
      </x:c>
      <x:c r="C17" s="12" t="d">
        <x:v>2026-12-06T12:00:00.000Z</x:v>
      </x:c>
      <x:c r="D17" s="13" t="str">
        <x:v>47406</x:v>
      </x:c>
      <x:c r="E17" s="4" t="str">
        <x:v>CONFIRMADO</x:v>
      </x:c>
      <x:c r="F17" s="4" t="str">
        <x:v>Relacionado</x:v>
      </x:c>
      <x:c r="G17" s="4" t="str">
        <x:v>Organizador responsável e edição futura confirmados na fonte.</x:v>
      </x:c>
      <x:c r="H17" s="4" t="str">
        <x:v>https://storagefileta.blob.core.windows.net/ticketagora/arquivos/evento/88298/49557dcd6f654dbcb94dc5538ae71dec639241338804793642.pdf</x:v>
      </x:c>
      <x:c r="I17" s="4" t="str">
        <x:v>https://business.roadrunners.run/eventos/?id_evento=47406</x:v>
      </x:c>
    </x:row>
    <x:row r="18" ht="88" customHeight="1">
      <x:c r="A18" s="4" t="str">
        <x:v>CAPA EVENTOS</x:v>
      </x:c>
      <x:c r="B18" s="4" t="str">
        <x:v>LEC RUN 2026</x:v>
      </x:c>
      <x:c r="C18" s="12" t="d">
        <x:v>2026-11-22T12:00:00.000Z</x:v>
      </x:c>
      <x:c r="D18" s="13" t="str">
        <x:v>47443</x:v>
      </x:c>
      <x:c r="E18" s="4" t="str">
        <x:v>CONFIRMADO</x:v>
      </x:c>
      <x:c r="F18" s="4" t="str">
        <x:v>Relacionado</x:v>
      </x:c>
      <x:c r="G18" s="4" t="str">
        <x:v>Organizador responsável e edição futura confirmados na fonte.</x:v>
      </x:c>
      <x:c r="H18" s="4" t="str">
        <x:v>https://storagefileta.blob.core.windows.net/ticketagora/arquivos/evento/88181/1835877288b44d078f8a3fa70f81de3e639235146049357120.pdf</x:v>
      </x:c>
      <x:c r="I18" s="4" t="str">
        <x:v>https://business.roadrunners.run/eventos/?id_evento=47443</x:v>
      </x:c>
    </x:row>
    <x:row r="19" ht="88" customHeight="1">
      <x:c r="A19" s="4" t="str">
        <x:v>CAPA EVENTOS</x:v>
      </x:c>
      <x:c r="B19" s="4" t="str">
        <x:v>MEIA MARATONA THE BEST RUN 2026</x:v>
      </x:c>
      <x:c r="C19" s="12" t="d">
        <x:v>2026-11-08T12:00:00.000Z</x:v>
      </x:c>
      <x:c r="D19" s="13" t="str">
        <x:v>43242</x:v>
      </x:c>
      <x:c r="E19" s="4" t="str">
        <x:v>CONFIRMADO</x:v>
      </x:c>
      <x:c r="F19" s="4" t="str">
        <x:v>Relacionado</x:v>
      </x:c>
      <x:c r="G19" s="4" t="str">
        <x:v>Organizador responsável e edição futura confirmados na fonte.</x:v>
      </x:c>
      <x:c r="H19" s="4" t="str">
        <x:v>https://storagefileta.blob.core.windows.net/ticketagora/arquivos/evento/87267/1141ed31ba3542feb1750435ece7a321639157329181542659.pdf</x:v>
      </x:c>
      <x:c r="I19" s="4" t="str">
        <x:v>https://business.roadrunners.run/eventos/?id_evento=43242</x:v>
      </x:c>
    </x:row>
    <x:row r="20" ht="88" customHeight="1">
      <x:c r="A20" s="4" t="str">
        <x:v>CAPA EVENTOS</x:v>
      </x:c>
      <x:c r="B20" s="4" t="str">
        <x:v>CIRCUITO UNIMED OFF ROAD - ETAPA PEDREIRA</x:v>
      </x:c>
      <x:c r="C20" s="12" t="d">
        <x:v>2026-11-01T12:00:00.000Z</x:v>
      </x:c>
      <x:c r="D20" s="13" t="str">
        <x:v>46568</x:v>
      </x:c>
      <x:c r="E20" s="4" t="str">
        <x:v>CONFIRMADO</x:v>
      </x:c>
      <x:c r="F20" s="4" t="str">
        <x:v>Relacionado</x:v>
      </x:c>
      <x:c r="G20" s="4" t="str">
        <x:v>Organizador responsável e edição futura confirmados na fonte.</x:v>
      </x:c>
      <x:c r="H20" s="4" t="str">
        <x:v>https://storagefileta.blob.core.windows.net/ticketagora/arquivos/evento/88136/94db21381fa64bef88d221dfc017a61f639223243529127043.pdf</x:v>
      </x:c>
      <x:c r="I20" s="4" t="str">
        <x:v>https://business.roadrunners.run/eventos/?id_evento=46568</x:v>
      </x:c>
    </x:row>
    <x:row r="21" ht="88" customHeight="1">
      <x:c r="A21" s="4" t="str">
        <x:v>CAPA EVENTOS</x:v>
      </x:c>
      <x:c r="B21" s="4" t="str">
        <x:v>10ª GO PINK - CORRIDA E CAMINHADA DO OUTUBRO ROSA</x:v>
      </x:c>
      <x:c r="C21" s="12" t="d">
        <x:v>2026-10-18T12:00:00.000Z</x:v>
      </x:c>
      <x:c r="D21" s="13" t="str">
        <x:v>44270</x:v>
      </x:c>
      <x:c r="E21" s="4" t="str">
        <x:v>CONFIRMADO</x:v>
      </x:c>
      <x:c r="F21" s="4" t="str">
        <x:v>Relacionado</x:v>
      </x:c>
      <x:c r="G21" s="4" t="str">
        <x:v>Organizador responsável e edição futura confirmados na fonte.</x:v>
      </x:c>
      <x:c r="H21" s="4" t="str">
        <x:v>https://storagefileta.blob.core.windows.net/ticketagora/arquivos/evento/87410/eba11f7ae86c4ee7b36cfc78e7f1991a639168551946991178.pdf</x:v>
      </x:c>
      <x:c r="I21" s="4" t="str">
        <x:v>https://business.roadrunners.run/eventos/?id_evento=44270</x:v>
      </x:c>
    </x:row>
    <x:row r="22" ht="88" customHeight="1">
      <x:c r="A22" s="4" t="str">
        <x:v>Chip Macapá</x:v>
      </x:c>
      <x:c r="B22" s="4" t="str">
        <x:v>9ª CORRIDA CONTRA O CÂNCER - 2026</x:v>
      </x:c>
      <x:c r="C22" s="12" t="d">
        <x:v>2026-11-22T12:00:00.000Z</x:v>
      </x:c>
      <x:c r="D22" s="13" t="str">
        <x:v>47202</x:v>
      </x:c>
      <x:c r="E22" s="4" t="str">
        <x:v>PENDENTE</x:v>
      </x:c>
      <x:c r="F22" s="4" t="str">
        <x:v>Não relacionado</x:v>
      </x:c>
      <x:c r="G22" s="4" t="str">
        <x:v>Regulamento atribui organização à ONG Carlos Daniel. Chip Macapá não confirmado como coorganizador.</x:v>
      </x:c>
      <x:c r="H22" s="4" t="str">
        <x:v>https://storagefileta.blob.core.windows.net/ticketagora/arquivos/evento/88221/e02fe6f452ce49998a9e6a8526529d3d639231619509855562.pdf</x:v>
      </x:c>
      <x:c r="I22" s="4" t="str">
        <x:v>https://business.roadrunners.run/eventos/?id_evento=47202</x:v>
      </x:c>
    </x:row>
    <x:row r="23" ht="88" customHeight="1">
      <x:c r="A23" s="4" t="str">
        <x:v>Chip Macapá</x:v>
      </x:c>
      <x:c r="B23" s="4" t="str">
        <x:v>1ª CORRIDA DO COMÉRCIO DE SANTANA 2026</x:v>
      </x:c>
      <x:c r="C23" s="12" t="d">
        <x:v>2026-10-17T12:00:00.000Z</x:v>
      </x:c>
      <x:c r="D23" s="13" t="str">
        <x:v>46607</x:v>
      </x:c>
      <x:c r="E23" s="4" t="str">
        <x:v>CONFIRMADO</x:v>
      </x:c>
      <x:c r="F23" s="4" t="str">
        <x:v>Relacionado</x:v>
      </x:c>
      <x:c r="G23" s="4" t="str">
        <x:v>Organizador responsável e edição futura confirmados na fonte.</x:v>
      </x:c>
      <x:c r="H23" s="4" t="str">
        <x:v>https://storagefileta.blob.core.windows.net/ticketagora/arquivos/evento/88032/339e307f4972419d8921639cef6987cf639223026686858078.pdf</x:v>
      </x:c>
      <x:c r="I23" s="4" t="str">
        <x:v>https://business.roadrunners.run/eventos/?id_evento=46607</x:v>
      </x:c>
    </x:row>
    <x:row r="24" ht="88" customHeight="1">
      <x:c r="A24" s="4" t="str">
        <x:v>Conceito Soluções Esportivas</x:v>
      </x:c>
      <x:c r="B24" s="4" t="str">
        <x:v>4ª CORRIDA DO TURISMO - ABAVSE 2026</x:v>
      </x:c>
      <x:c r="C24" s="12" t="d">
        <x:v>2027-05-02T12:00:00.000Z</x:v>
      </x:c>
      <x:c r="D24" s="13" t="str">
        <x:v>44821</x:v>
      </x:c>
      <x:c r="E24" s="4" t="str">
        <x:v>PENDENTE</x:v>
      </x:c>
      <x:c r="F24" s="4" t="str">
        <x:v>Não relacionado</x:v>
      </x:c>
      <x:c r="G24" s="4" t="str">
        <x:v>Data do regulamento 09/08/2026 diverge do cadastro 02/05/2027. Não usar regulamento da edição antiga.</x:v>
      </x:c>
      <x:c r="H24" s="4" t="str">
        <x:v>https://storagefileta.blob.core.windows.net/ticketagora/arquivos/evento/87181/3863f3197734478cb0660ab5b7a17618639150491436794276.pdf</x:v>
      </x:c>
      <x:c r="I24" s="4" t="str">
        <x:v>https://business.roadrunners.run/eventos/?id_evento=44821</x:v>
      </x:c>
    </x:row>
    <x:row r="25" ht="88" customHeight="1">
      <x:c r="A25" s="4" t="str">
        <x:v>Conceito Soluções Esportivas</x:v>
      </x:c>
      <x:c r="B25" s="4" t="str">
        <x:v>CORRIDA MEIA DA CONCEIÇÃO 2026 - ANO 12</x:v>
      </x:c>
      <x:c r="C25" s="12" t="d">
        <x:v>2026-12-06T12:00:00.000Z</x:v>
      </x:c>
      <x:c r="D25" s="13" t="str">
        <x:v>41123</x:v>
      </x:c>
      <x:c r="E25" s="4" t="str">
        <x:v>CONFIRMADO</x:v>
      </x:c>
      <x:c r="F25" s="4" t="str">
        <x:v>Relacionado</x:v>
      </x:c>
      <x:c r="G25" s="4" t="str">
        <x:v>Organizador responsável e edição futura confirmados na fonte.</x:v>
      </x:c>
      <x:c r="H25" s="4" t="str">
        <x:v>https://storagefileta.blob.core.windows.net/ticketagora/arquivos/evento/86544/5037dd76d2bc4731899b6d6770b2915b639104894282268735.pdf</x:v>
      </x:c>
      <x:c r="I25" s="4" t="str">
        <x:v>https://business.roadrunners.run/eventos/?id_evento=41123</x:v>
      </x:c>
    </x:row>
    <x:row r="26" ht="88" customHeight="1">
      <x:c r="A26" s="4" t="str">
        <x:v>CPR Eventos e Produções</x:v>
      </x:c>
      <x:c r="B26" s="4" t="str">
        <x:v>CIRCUITO RJ 2026 - 3ª ETAPA</x:v>
      </x:c>
      <x:c r="C26" s="12" t="d">
        <x:v>2026-12-20T12:00:00.000Z</x:v>
      </x:c>
      <x:c r="D26" s="13" t="str">
        <x:v>45831</x:v>
      </x:c>
      <x:c r="E26" s="4" t="str">
        <x:v>PENDENTE</x:v>
      </x:c>
      <x:c r="F26" s="4" t="str">
        <x:v>Não relacionado</x:v>
      </x:c>
      <x:c r="G26" s="4" t="str">
        <x:v>Não foi obtida confirmação suficiente do organizador responsável e da edição futura na fonte consultada.</x:v>
      </x:c>
      <x:c r="H26" s="4" t="str">
        <x:v>https://www.ticketsports.com.br/e/CIRCUITO+RJ+2026+-+3%C2%AA+ETAPA-87928</x:v>
      </x:c>
      <x:c r="I26" s="4" t="str">
        <x:v>https://business.roadrunners.run/eventos/?id_evento=45831</x:v>
      </x:c>
    </x:row>
    <x:row r="27" ht="88" customHeight="1">
      <x:c r="A27" s="4" t="str">
        <x:v>CPR Eventos e Produções</x:v>
      </x:c>
      <x:c r="B27" s="4" t="str">
        <x:v>VASCORRIDA NITERÓI 2026</x:v>
      </x:c>
      <x:c r="C27" s="12" t="d">
        <x:v>2026-11-29T12:00:00.000Z</x:v>
      </x:c>
      <x:c r="D27" s="13" t="str">
        <x:v>46218</x:v>
      </x:c>
      <x:c r="E27" s="4" t="str">
        <x:v>PENDENTE</x:v>
      </x:c>
      <x:c r="F27" s="4" t="str">
        <x:v>Não relacionado</x:v>
      </x:c>
      <x:c r="G27" s="4" t="str">
        <x:v>Não foi obtida confirmação suficiente do organizador responsável e da edição futura na fonte consultada.</x:v>
      </x:c>
      <x:c r="H27" s="4" t="str">
        <x:v>https://www.ticketsports.com.br/e/VASCORRIDA+NITER%C3%93I+2026-87671</x:v>
      </x:c>
      <x:c r="I27" s="4" t="str">
        <x:v>https://business.roadrunners.run/eventos/?id_evento=46218</x:v>
      </x:c>
    </x:row>
    <x:row r="28" ht="88" customHeight="1">
      <x:c r="A28" s="4" t="str">
        <x:v>CPR Eventos e Produções</x:v>
      </x:c>
      <x:c r="B28" s="4" t="str">
        <x:v>IGUAÇU RUN 2026</x:v>
      </x:c>
      <x:c r="C28" s="12" t="d">
        <x:v>2026-11-15T12:00:00.000Z</x:v>
      </x:c>
      <x:c r="D28" s="13" t="str">
        <x:v>45305</x:v>
      </x:c>
      <x:c r="E28" s="4" t="str">
        <x:v>PENDENTE</x:v>
      </x:c>
      <x:c r="F28" s="4" t="str">
        <x:v>Não relacionado</x:v>
      </x:c>
      <x:c r="G28" s="4" t="str">
        <x:v>Não foi obtida confirmação suficiente do organizador responsável e da edição futura na fonte consultada.</x:v>
      </x:c>
      <x:c r="H28" s="4" t="str">
        <x:v>https://www.ticketsports.com.br/e/IGUA%C3%87U+RUN+2026-87799</x:v>
      </x:c>
      <x:c r="I28" s="4" t="str">
        <x:v>https://business.roadrunners.run/eventos/?id_evento=45305</x:v>
      </x:c>
    </x:row>
    <x:row r="29" ht="88" customHeight="1">
      <x:c r="A29" s="4" t="str">
        <x:v>CPR Eventos e Produções</x:v>
      </x:c>
      <x:c r="B29" s="4" t="str">
        <x:v>CORRIDA DAS PODEROSAS 2026 - 3ª ETAPA</x:v>
      </x:c>
      <x:c r="C29" s="12" t="d">
        <x:v>2026-11-01T12:00:00.000Z</x:v>
      </x:c>
      <x:c r="D29" s="13" t="str">
        <x:v>44832</x:v>
      </x:c>
      <x:c r="E29" s="4" t="str">
        <x:v>PENDENTE</x:v>
      </x:c>
      <x:c r="F29" s="4" t="str">
        <x:v>Não relacionado</x:v>
      </x:c>
      <x:c r="G29" s="4" t="str">
        <x:v>Não foi obtida confirmação suficiente do organizador responsável e da edição futura na fonte consultada.</x:v>
      </x:c>
      <x:c r="H29" s="4" t="str">
        <x:v>https://www.ticketsports.com.br/e/CORRIDA+DAS+PODEROSAS+2026+-+3%C2%AA+ETAPA-86402</x:v>
      </x:c>
      <x:c r="I29" s="4" t="str">
        <x:v>https://business.roadrunners.run/eventos/?id_evento=44832</x:v>
      </x:c>
    </x:row>
    <x:row r="30" ht="88" customHeight="1">
      <x:c r="A30" s="4" t="str">
        <x:v>CPR Eventos e Produções</x:v>
      </x:c>
      <x:c r="B30" s="4" t="str">
        <x:v>MARICÁ 21K</x:v>
      </x:c>
      <x:c r="C30" s="12" t="d">
        <x:v>2026-10-18T12:00:00.000Z</x:v>
      </x:c>
      <x:c r="D30" s="13" t="str">
        <x:v>43923</x:v>
      </x:c>
      <x:c r="E30" s="4" t="str">
        <x:v>PENDENTE</x:v>
      </x:c>
      <x:c r="F30" s="4" t="str">
        <x:v>Não relacionado</x:v>
      </x:c>
      <x:c r="G30" s="4" t="str">
        <x:v>Não foi obtida confirmação suficiente do organizador responsável e da edição futura na fonte consultada.</x:v>
      </x:c>
      <x:c r="H30" s="4" t="str">
        <x:v>https://www.ticketsports.com.br/e/MARIC%C3%81+21K-87480</x:v>
      </x:c>
      <x:c r="I30" s="4" t="str">
        <x:v>https://business.roadrunners.run/eventos/?id_evento=43923</x:v>
      </x:c>
    </x:row>
    <x:row r="31" ht="88" customHeight="1">
      <x:c r="A31" s="4" t="str">
        <x:v>DBueno Eventos</x:v>
      </x:c>
      <x:c r="B31" s="4" t="str">
        <x:v>SANTOS RUN 8K 2026</x:v>
      </x:c>
      <x:c r="C31" s="12" t="d">
        <x:v>2026-11-15T12:00:00.000Z</x:v>
      </x:c>
      <x:c r="D31" s="13" t="str">
        <x:v>48949</x:v>
      </x:c>
      <x:c r="E31" s="4" t="str">
        <x:v>PENDENTE</x:v>
      </x:c>
      <x:c r="F31" s="4" t="str">
        <x:v>Não relacionado</x:v>
      </x:c>
      <x:c r="G31" s="4" t="str">
        <x:v>Não foi obtida confirmação suficiente do organizador responsável e da edição futura na fonte consultada.</x:v>
      </x:c>
      <x:c r="H31" s="4" t="str">
        <x:v>https://storagefileta.blob.core.windows.net/ticketagora/arquivos/evento/88577/d28948e314704f239e27adec5f699c03639262784310444722.pdf</x:v>
      </x:c>
      <x:c r="I31" s="4" t="str">
        <x:v>https://business.roadrunners.run/eventos/?id_evento=48949</x:v>
      </x:c>
    </x:row>
    <x:row r="32" ht="88" customHeight="1">
      <x:c r="A32" s="4" t="str">
        <x:v>DTO SPORTS EVENTOS ESPORTIVOS E MARKETING</x:v>
      </x:c>
      <x:c r="B32" s="4" t="str">
        <x:v>BC CELEBRATION 2026 - BALNEÁRIO CAMBORIÚ</x:v>
      </x:c>
      <x:c r="C32" s="12" t="d">
        <x:v>2026-12-30T12:00:00.000Z</x:v>
      </x:c>
      <x:c r="D32" s="13" t="str">
        <x:v>48730</x:v>
      </x:c>
      <x:c r="E32" s="4" t="str">
        <x:v>PENDENTE</x:v>
      </x:c>
      <x:c r="F32" s="4" t="str">
        <x:v>Não relacionado</x:v>
      </x:c>
      <x:c r="G32" s="4" t="str">
        <x:v>Não foi obtida confirmação suficiente do organizador responsável e da edição futura na fonte consultada.</x:v>
      </x:c>
      <x:c r="H32" s="4" t="str">
        <x:v>https://app.sprinta.com.br/event/733996ab6c636ed3a9</x:v>
      </x:c>
      <x:c r="I32" s="4" t="str">
        <x:v>https://business.roadrunners.run/eventos/?id_evento=48730</x:v>
      </x:c>
    </x:row>
    <x:row r="33" ht="88" customHeight="1">
      <x:c r="A33" s="4" t="str">
        <x:v>DTO SPORTS EVENTOS ESPORTIVOS E MARKETING</x:v>
      </x:c>
      <x:c r="B33" s="4" t="str">
        <x:v>3° CORRIDA DO PELZNICKEL – GUABIRUBA 2026</x:v>
      </x:c>
      <x:c r="C33" s="12" t="d">
        <x:v>2026-12-06T12:00:00.000Z</x:v>
      </x:c>
      <x:c r="D33" s="13" t="str">
        <x:v>48458</x:v>
      </x:c>
      <x:c r="E33" s="4" t="str">
        <x:v>PENDENTE</x:v>
      </x:c>
      <x:c r="F33" s="4" t="str">
        <x:v>Não relacionado</x:v>
      </x:c>
      <x:c r="G33" s="4" t="str">
        <x:v>Não foi obtida confirmação suficiente do organizador responsável e da edição futura na fonte consultada.</x:v>
      </x:c>
      <x:c r="H33" s="4" t="str">
        <x:v>https://app.sprinta.com.br/event/733996ab3c4e33def6</x:v>
      </x:c>
      <x:c r="I33" s="4" t="str">
        <x:v>https://business.roadrunners.run/eventos/?id_evento=48458</x:v>
      </x:c>
    </x:row>
    <x:row r="34" ht="88" customHeight="1">
      <x:c r="A34" s="4" t="str">
        <x:v>DTO SPORTS EVENTOS ESPORTIVOS E MARKETING</x:v>
      </x:c>
      <x:c r="B34" s="4" t="str">
        <x:v>NEON MUSIC NIGHT RUN – BRUSQUE 2026</x:v>
      </x:c>
      <x:c r="C34" s="12" t="d">
        <x:v>2026-11-28T12:00:00.000Z</x:v>
      </x:c>
      <x:c r="D34" s="13" t="str">
        <x:v>47431</x:v>
      </x:c>
      <x:c r="E34" s="4" t="str">
        <x:v>PENDENTE</x:v>
      </x:c>
      <x:c r="F34" s="4" t="str">
        <x:v>Não relacionado</x:v>
      </x:c>
      <x:c r="G34" s="4" t="str">
        <x:v>Não foi obtida confirmação suficiente do organizador responsável e da edição futura na fonte consultada.</x:v>
      </x:c>
      <x:c r="H34" s="4" t="str">
        <x:v>https://app.sprinta.com.br/event/733996a1ecf6f732b4</x:v>
      </x:c>
      <x:c r="I34" s="4" t="str">
        <x:v>https://business.roadrunners.run/eventos/?id_evento=47431</x:v>
      </x:c>
    </x:row>
    <x:row r="35" ht="88" customHeight="1">
      <x:c r="A35" s="4" t="str">
        <x:v>DTO SPORTS EVENTOS ESPORTIVOS E MARKETING</x:v>
      </x:c>
      <x:c r="B35" s="4" t="str">
        <x:v>SUPERE RUN – Porto Belo 2026</x:v>
      </x:c>
      <x:c r="C35" s="12" t="d">
        <x:v>2026-11-14T12:00:00.000Z</x:v>
      </x:c>
      <x:c r="D35" s="13" t="str">
        <x:v>49002</x:v>
      </x:c>
      <x:c r="E35" s="4" t="str">
        <x:v>PENDENTE</x:v>
      </x:c>
      <x:c r="F35" s="4" t="str">
        <x:v>Não relacionado</x:v>
      </x:c>
      <x:c r="G35" s="4" t="str">
        <x:v>Não foi obtida confirmação suficiente do organizador responsável e da edição futura na fonte consultada.</x:v>
      </x:c>
      <x:c r="H35" s="4" t="str">
        <x:v>https://app.sprinta.com.br/event/733996abfbaf280f76</x:v>
      </x:c>
      <x:c r="I35" s="4" t="str">
        <x:v>https://business.roadrunners.run/eventos/?id_evento=49002</x:v>
      </x:c>
    </x:row>
    <x:row r="36" ht="88" customHeight="1">
      <x:c r="A36" s="4" t="str">
        <x:v>Fidalgo Eventos Esportivos</x:v>
      </x:c>
      <x:c r="B36" s="4" t="str">
        <x:v>BUNKA OFF ROAD 2027</x:v>
      </x:c>
      <x:c r="C36" s="12" t="d">
        <x:v>2027-03-07T12:00:00.000Z</x:v>
      </x:c>
      <x:c r="D36" s="13" t="str">
        <x:v>40716</x:v>
      </x:c>
      <x:c r="E36" s="4" t="str">
        <x:v>PENDENTE</x:v>
      </x:c>
      <x:c r="F36" s="4" t="str">
        <x:v>Não relacionado</x:v>
      </x:c>
      <x:c r="G36" s="4" t="str">
        <x:v>Regulamento consultado não identifica nominalmente a Fidalgo como organizadora.</x:v>
      </x:c>
      <x:c r="H36" s="4" t="str">
        <x:v>https://midia.recebedigital.com.br/incentivoesporte/eventos/a85e50282ffdd14b77afef19dfbbfa8e91ef05cd.pdf</x:v>
      </x:c>
      <x:c r="I36" s="4" t="str">
        <x:v>https://business.roadrunners.run/eventos/?id_evento=40716</x:v>
      </x:c>
    </x:row>
    <x:row r="37" ht="88" customHeight="1">
      <x:c r="A37" s="4" t="str">
        <x:v>Fidalgo Eventos Esportivos</x:v>
      </x:c>
      <x:c r="B37" s="4" t="str">
        <x:v>CORRIDA DO MELO PARAGUAÇU PAULISTA</x:v>
      </x:c>
      <x:c r="C37" s="12" t="d">
        <x:v>2026-12-05T12:00:00.000Z</x:v>
      </x:c>
      <x:c r="D37" s="13" t="str">
        <x:v>46516</x:v>
      </x:c>
      <x:c r="E37" s="4" t="str">
        <x:v>PENDENTE</x:v>
      </x:c>
      <x:c r="F37" s="4" t="str">
        <x:v>Não relacionado</x:v>
      </x:c>
      <x:c r="G37" s="4" t="str">
        <x:v>Regulamento informa 05/12/2025 e cadastro 05/12/2026.</x:v>
      </x:c>
      <x:c r="H37" s="4" t="str">
        <x:v>https://midia.recebedigital.com.br/incentivoesporte/eventos/25fb1ed99d373741e38ba3ad64d6582d946a22a2.pdf</x:v>
      </x:c>
      <x:c r="I37" s="4" t="str">
        <x:v>https://business.roadrunners.run/eventos/?id_evento=46516</x:v>
      </x:c>
    </x:row>
    <x:row r="38" ht="88" customHeight="1">
      <x:c r="A38" s="4" t="str">
        <x:v>G2P Eventos</x:v>
      </x:c>
      <x:c r="B38" s="4" t="str">
        <x:v>RC 21K - 200 ANOS</x:v>
      </x:c>
      <x:c r="C38" s="12" t="d">
        <x:v>2027-06-20T12:00:00.000Z</x:v>
      </x:c>
      <x:c r="D38" s="13" t="str">
        <x:v>47957</x:v>
      </x:c>
      <x:c r="E38" s="4" t="str">
        <x:v>CONFIRMADO</x:v>
      </x:c>
      <x:c r="F38" s="4" t="str">
        <x:v>Relacionado</x:v>
      </x:c>
      <x:c r="G38" s="4" t="str">
        <x:v>Organizador responsável e edição futura confirmados na fonte.</x:v>
      </x:c>
      <x:c r="H38" s="4" t="str">
        <x:v>https://storagefileta.blob.core.windows.net/ticketagora/arquivos/evento/87973/89a17552c31c484993417af9bc5ebff0639250670030728714.pdf</x:v>
      </x:c>
      <x:c r="I38" s="4" t="str">
        <x:v>https://business.roadrunners.run/eventos/?id_evento=47957</x:v>
      </x:c>
    </x:row>
    <x:row r="39" ht="88" customHeight="1">
      <x:c r="A39" s="4" t="str">
        <x:v>G2P Eventos</x:v>
      </x:c>
      <x:c r="B39" s="4" t="str">
        <x:v>2ª INVICTAS RUN</x:v>
      </x:c>
      <x:c r="C39" s="12" t="d">
        <x:v>2027-03-14T12:00:00.000Z</x:v>
      </x:c>
      <x:c r="D39" s="13" t="str">
        <x:v>47704</x:v>
      </x:c>
      <x:c r="E39" s="4" t="str">
        <x:v>PENDENTE</x:v>
      </x:c>
      <x:c r="F39" s="4" t="str">
        <x:v>Não relacionado</x:v>
      </x:c>
      <x:c r="G39" s="4" t="str">
        <x:v>Não foi obtida confirmação suficiente do organizador responsável e da edição futura na fonte consultada.</x:v>
      </x:c>
      <x:c r="H39" s="4" t="str">
        <x:v>https://www.ticketsports.com.br/e/2%C2%AA+INVICTAS+RUN-88318</x:v>
      </x:c>
      <x:c r="I39" s="4" t="str">
        <x:v>https://business.roadrunners.run/eventos/?id_evento=47704</x:v>
      </x:c>
    </x:row>
    <x:row r="40" ht="88" customHeight="1">
      <x:c r="A40" s="4" t="str">
        <x:v>G2P Eventos</x:v>
      </x:c>
      <x:c r="B40" s="4" t="str">
        <x:v>RC 21K</x:v>
      </x:c>
      <x:c r="C40" s="12" t="d">
        <x:v>2026-12-06T12:00:00.000Z</x:v>
      </x:c>
      <x:c r="D40" s="13" t="str">
        <x:v>46210</x:v>
      </x:c>
      <x:c r="E40" s="4" t="str">
        <x:v>CONFIRMADO</x:v>
      </x:c>
      <x:c r="F40" s="4" t="str">
        <x:v>Relacionado</x:v>
      </x:c>
      <x:c r="G40" s="4" t="str">
        <x:v>Organizador responsável e edição futura confirmados na fonte.</x:v>
      </x:c>
      <x:c r="H40" s="4" t="str">
        <x:v>https://storagefileta.blob.core.windows.net/ticketagora/arquivos/evento/87973/aecd2db70dc24baa94e91323453929d6639219777253671088.pdf</x:v>
      </x:c>
      <x:c r="I40" s="4" t="str">
        <x:v>https://business.roadrunners.run/eventos/?id_evento=46210</x:v>
      </x:c>
    </x:row>
    <x:row r="41" ht="88" customHeight="1">
      <x:c r="A41" s="4" t="str">
        <x:v>G2P Eventos</x:v>
      </x:c>
      <x:c r="B41" s="4" t="str">
        <x:v>15ª VOLTA DA UNICAMP</x:v>
      </x:c>
      <x:c r="C41" s="12" t="d">
        <x:v>2026-11-15T12:00:00.000Z</x:v>
      </x:c>
      <x:c r="D41" s="13" t="str">
        <x:v>47971</x:v>
      </x:c>
      <x:c r="E41" s="4" t="str">
        <x:v>CONFIRMADO</x:v>
      </x:c>
      <x:c r="F41" s="4" t="str">
        <x:v>Relacionado</x:v>
      </x:c>
      <x:c r="G41" s="4" t="str">
        <x:v>Organizador responsável e edição futura confirmados na fonte.</x:v>
      </x:c>
      <x:c r="H41" s="4" t="str">
        <x:v>https://storagefileta.blob.core.windows.net/ticketagora/arquivos/evento/88271/eccddeec88554c7a80c1f463d682a14d639235314878282073.pdf</x:v>
      </x:c>
      <x:c r="I41" s="4" t="str">
        <x:v>https://business.roadrunners.run/eventos/?id_evento=47971</x:v>
      </x:c>
    </x:row>
    <x:row r="42" ht="88" customHeight="1">
      <x:c r="A42" s="4" t="str">
        <x:v>G2P Eventos</x:v>
      </x:c>
      <x:c r="B42" s="4" t="str">
        <x:v>ULTRA NAVARRO 50K</x:v>
      </x:c>
      <x:c r="C42" s="12" t="d">
        <x:v>2026-11-08T12:00:00.000Z</x:v>
      </x:c>
      <x:c r="D42" s="13" t="str">
        <x:v>46928</x:v>
      </x:c>
      <x:c r="E42" s="4" t="str">
        <x:v>CONFIRMADO</x:v>
      </x:c>
      <x:c r="F42" s="4" t="str">
        <x:v>Relacionado</x:v>
      </x:c>
      <x:c r="G42" s="4" t="str">
        <x:v>Organizador responsável e edição futura confirmados na fonte.</x:v>
      </x:c>
      <x:c r="H42" s="4" t="str">
        <x:v>https://storagefileta.blob.core.windows.net/ticketagora/arquivos/evento/88106/b6c4786d1e654166a233346044ff9658639228245624612723.pdf</x:v>
      </x:c>
      <x:c r="I42" s="4" t="str">
        <x:v>https://business.roadrunners.run/eventos/?id_evento=46928</x:v>
      </x:c>
    </x:row>
    <x:row r="43" ht="88" customHeight="1">
      <x:c r="A43" s="4" t="str">
        <x:v>G2P Eventos</x:v>
      </x:c>
      <x:c r="B43" s="4" t="str">
        <x:v>ASSOMBRA RUN</x:v>
      </x:c>
      <x:c r="C43" s="12" t="d">
        <x:v>2026-10-31T12:00:00.000Z</x:v>
      </x:c>
      <x:c r="D43" s="13" t="str">
        <x:v>44834</x:v>
      </x:c>
      <x:c r="E43" s="4" t="str">
        <x:v>CONFIRMADO</x:v>
      </x:c>
      <x:c r="F43" s="4" t="str">
        <x:v>Relacionado</x:v>
      </x:c>
      <x:c r="G43" s="4" t="str">
        <x:v>Organizador responsável e edição futura confirmados na fonte.</x:v>
      </x:c>
      <x:c r="H43" s="4" t="str">
        <x:v>https://storagefileta.blob.core.windows.net/ticketagora/arquivos/evento/87016/2d584e6ff5ad4194b106caab7145f464639185997767697939.pdf</x:v>
      </x:c>
      <x:c r="I43" s="4" t="str">
        <x:v>https://business.roadrunners.run/eventos/?id_evento=44834</x:v>
      </x:c>
    </x:row>
    <x:row r="44" ht="88" customHeight="1">
      <x:c r="A44" s="4" t="str">
        <x:v>G2P Eventos</x:v>
      </x:c>
      <x:c r="B44" s="4" t="str">
        <x:v>RUN PINK RIO CLARO  2026</x:v>
      </x:c>
      <x:c r="C44" s="12" t="d">
        <x:v>2026-10-17T12:00:00.000Z</x:v>
      </x:c>
      <x:c r="D44" s="13" t="str">
        <x:v>45899</x:v>
      </x:c>
      <x:c r="E44" s="4" t="str">
        <x:v>CONFIRMADO</x:v>
      </x:c>
      <x:c r="F44" s="4" t="str">
        <x:v>Relacionado</x:v>
      </x:c>
      <x:c r="G44" s="4" t="str">
        <x:v>Organizador responsável e edição futura confirmados na fonte.</x:v>
      </x:c>
      <x:c r="H44" s="4" t="str">
        <x:v>https://storagefileta.blob.core.windows.net/ticketagora/arquivos/evento/87632/f3952d59e8114c85bb5a240f56f362f4639212080330872040.pdf</x:v>
      </x:c>
      <x:c r="I44" s="4" t="str">
        <x:v>https://business.roadrunners.run/eventos/?id_evento=45899</x:v>
      </x:c>
    </x:row>
    <x:row r="45" ht="88" customHeight="1">
      <x:c r="A45" s="4" t="str">
        <x:v>Ideal 5k</x:v>
      </x:c>
      <x:c r="B45" s="4" t="str">
        <x:v>3ª CORRIDA DE MARCHI  - AÇAÍ SPORT</x:v>
      </x:c>
      <x:c r="C45" s="12" t="d">
        <x:v>2026-12-06T12:00:00.000Z</x:v>
      </x:c>
      <x:c r="D45" s="13" t="str">
        <x:v>47657</x:v>
      </x:c>
      <x:c r="E45" s="4" t="str">
        <x:v>CONFIRMADO</x:v>
      </x:c>
      <x:c r="F45" s="4" t="str">
        <x:v>Relacionado</x:v>
      </x:c>
      <x:c r="G45" s="4" t="str">
        <x:v>Organizador responsável e edição futura confirmados na fonte.</x:v>
      </x:c>
      <x:c r="H45" s="4" t="str">
        <x:v>https://storagefileta.blob.core.windows.net/ticketagora/arquivos/evento/86815/444e334e183e4b70a02f3de489a4f653639245733210029461.pdf</x:v>
      </x:c>
      <x:c r="I45" s="4" t="str">
        <x:v>https://business.roadrunners.run/eventos/?id_evento=47657</x:v>
      </x:c>
    </x:row>
    <x:row r="46" ht="88" customHeight="1">
      <x:c r="A46" s="4" t="str">
        <x:v>Ideal 5k</x:v>
      </x:c>
      <x:c r="B46" s="4" t="str">
        <x:v>EAÍ RUN 2026</x:v>
      </x:c>
      <x:c r="C46" s="12" t="d">
        <x:v>2026-11-29T12:00:00.000Z</x:v>
      </x:c>
      <x:c r="D46" s="13" t="str">
        <x:v>44158</x:v>
      </x:c>
      <x:c r="E46" s="4" t="str">
        <x:v>CONFIRMADO</x:v>
      </x:c>
      <x:c r="F46" s="4" t="str">
        <x:v>Relacionado</x:v>
      </x:c>
      <x:c r="G46" s="4" t="str">
        <x:v>Organizador responsável e edição futura confirmados na fonte.</x:v>
      </x:c>
      <x:c r="H46" s="4" t="str">
        <x:v>https://storagefileta.blob.core.windows.net/ticketagora/arquivos/evento/86816/8ba0484678734d0280d9825403c4cb61639178364334931928.pdf</x:v>
      </x:c>
      <x:c r="I46" s="4" t="str">
        <x:v>https://business.roadrunners.run/eventos/?id_evento=44158</x:v>
      </x:c>
    </x:row>
    <x:row r="47" ht="88" customHeight="1">
      <x:c r="A47" s="4" t="str">
        <x:v>Ideal 5k</x:v>
      </x:c>
      <x:c r="B47" s="4" t="str">
        <x:v>AERO NIGHT RUN - ETAPA SOROCABA 2026</x:v>
      </x:c>
      <x:c r="C47" s="12" t="d">
        <x:v>2026-11-14T12:00:00.000Z</x:v>
      </x:c>
      <x:c r="D47" s="13" t="str">
        <x:v>43664</x:v>
      </x:c>
      <x:c r="E47" s="4" t="str">
        <x:v>CONFIRMADO</x:v>
      </x:c>
      <x:c r="F47" s="4" t="str">
        <x:v>Relacionado</x:v>
      </x:c>
      <x:c r="G47" s="4" t="str">
        <x:v>Organizador responsável e edição futura confirmados na fonte.</x:v>
      </x:c>
      <x:c r="H47" s="4" t="str">
        <x:v>https://storagefileta.blob.core.windows.net/ticketagora/arquivos/evento/87365/4acd7c21fa1245489fd58d1b7d3d78bb639166235260428355.pdf</x:v>
      </x:c>
      <x:c r="I47" s="4" t="str">
        <x:v>https://business.roadrunners.run/eventos/?id_evento=43664</x:v>
      </x:c>
    </x:row>
    <x:row r="48" ht="88" customHeight="1">
      <x:c r="A48" s="4" t="str">
        <x:v>Ideal 5k</x:v>
      </x:c>
      <x:c r="B48" s="4" t="str">
        <x:v>CORRIDA BARÃO DE JUNDIAHY - EXÉRCITO BRASILEIRO 2026</x:v>
      </x:c>
      <x:c r="C48" s="12" t="d">
        <x:v>2026-11-08T12:00:00.000Z</x:v>
      </x:c>
      <x:c r="D48" s="13" t="str">
        <x:v>45000</x:v>
      </x:c>
      <x:c r="E48" s="4" t="str">
        <x:v>CONFIRMADO</x:v>
      </x:c>
      <x:c r="F48" s="4" t="str">
        <x:v>Relacionado</x:v>
      </x:c>
      <x:c r="G48" s="4" t="str">
        <x:v>Organizador responsável e edição futura confirmados na fonte.</x:v>
      </x:c>
      <x:c r="H48" s="4" t="str">
        <x:v>https://storagefileta.blob.core.windows.net/ticketagora/arquivos/evento/86814/c3ab95012bc74921be1186fed8fef135639190481686340062.pdf</x:v>
      </x:c>
      <x:c r="I48" s="4" t="str">
        <x:v>https://business.roadrunners.run/eventos/?id_evento=45000</x:v>
      </x:c>
    </x:row>
    <x:row r="49" ht="88" customHeight="1">
      <x:c r="A49" s="4" t="str">
        <x:v>Ideal 5k</x:v>
      </x:c>
      <x:c r="B49" s="4" t="str">
        <x:v>AERO NIGHT RUN - GWM DAHRUJ - ETAPA CAMPINAS 2026</x:v>
      </x:c>
      <x:c r="C49" s="12" t="d">
        <x:v>2026-10-24T12:00:00.000Z</x:v>
      </x:c>
      <x:c r="D49" s="13" t="str">
        <x:v>43669</x:v>
      </x:c>
      <x:c r="E49" s="4" t="str">
        <x:v>CONFIRMADO</x:v>
      </x:c>
      <x:c r="F49" s="4" t="str">
        <x:v>Relacionado</x:v>
      </x:c>
      <x:c r="G49" s="4" t="str">
        <x:v>Organizador responsável e edição futura confirmados na fonte.</x:v>
      </x:c>
      <x:c r="H49" s="4" t="str">
        <x:v>https://storagefileta.blob.core.windows.net/ticketagora/arquivos/evento/87364/f5e9959c633b4a29940a0f0dc59ed872639166225835332164.pdf</x:v>
      </x:c>
      <x:c r="I49" s="4" t="str">
        <x:v>https://business.roadrunners.run/eventos/?id_evento=43669</x:v>
      </x:c>
    </x:row>
    <x:row r="50" ht="88" customHeight="1">
      <x:c r="A50" s="4" t="str">
        <x:v>Ideal 5k</x:v>
      </x:c>
      <x:c r="B50" s="4" t="str">
        <x:v>8ª CORRIDA OUTLET PREMIUM SÃO PAULO</x:v>
      </x:c>
      <x:c r="C50" s="12" t="d">
        <x:v>2026-10-18T12:00:00.000Z</x:v>
      </x:c>
      <x:c r="D50" s="13" t="str">
        <x:v>38361</x:v>
      </x:c>
      <x:c r="E50" s="4" t="str">
        <x:v>CONFIRMADO</x:v>
      </x:c>
      <x:c r="F50" s="4" t="str">
        <x:v>Relacionado</x:v>
      </x:c>
      <x:c r="G50" s="4" t="str">
        <x:v>Organizador responsável e edição futura confirmados na fonte.</x:v>
      </x:c>
      <x:c r="H50" s="4" t="str">
        <x:v>https://storagefileta.blob.core.windows.net/ticketagora/arquivos/evento/85574/d761b284eab94d39ba9a84b7c8241fec639047891575824380.pdf</x:v>
      </x:c>
      <x:c r="I50" s="4" t="str">
        <x:v>https://business.roadrunners.run/eventos/?id_evento=38361</x:v>
      </x:c>
    </x:row>
    <x:row r="51" ht="88" customHeight="1">
      <x:c r="A51" s="4" t="str">
        <x:v>MMB Eventos Esportivos</x:v>
      </x:c>
      <x:c r="B51" s="4" t="str">
        <x:v>MARATONA MONUMENTAL DE BRASÍLIA 2026</x:v>
      </x:c>
      <x:c r="C51" s="12" t="d">
        <x:v>2026-11-21T12:00:00.000Z</x:v>
      </x:c>
      <x:c r="D51" s="13" t="str">
        <x:v>39395</x:v>
      </x:c>
      <x:c r="E51" s="4" t="str">
        <x:v>PENDENTE</x:v>
      </x:c>
      <x:c r="F51" s="4" t="str">
        <x:v>Não relacionado</x:v>
      </x:c>
      <x:c r="G51" s="4" t="str">
        <x:v>Realização MMB e organização de outro instituto; não atribuir automaticamente.</x:v>
      </x:c>
      <x:c r="H51" s="4" t="str">
        <x:v>https://storagefileta.blob.core.windows.net/ticketagora/arquivos/evento/74828/4e91b6e5359b4b4389243a2939d996ff639199082801291559.pdf</x:v>
      </x:c>
      <x:c r="I51" s="4" t="str">
        <x:v>https://business.roadrunners.run/eventos/?id_evento=39395</x:v>
      </x:c>
    </x:row>
    <x:row r="52" ht="88" customHeight="1">
      <x:c r="A52" s="4" t="str">
        <x:v>Mountain Do</x:v>
      </x:c>
      <x:c r="B52" s="4" t="str">
        <x:v>MOUNTAIN DO PRAIA DO ROSA</x:v>
      </x:c>
      <x:c r="C52" s="12" t="d">
        <x:v>2027-04-03T12:00:00.000Z</x:v>
      </x:c>
      <x:c r="D52" s="13" t="str">
        <x:v>45670</x:v>
      </x:c>
      <x:c r="E52" s="4" t="str">
        <x:v>PENDENTE</x:v>
      </x:c>
      <x:c r="F52" s="4" t="str">
        <x:v>Não relacionado</x:v>
      </x:c>
      <x:c r="G52" s="4" t="str">
        <x:v>Não foi obtida confirmação suficiente do organizador responsável e da edição futura na fonte consultada.</x:v>
      </x:c>
      <x:c r="H52" s="4" t="str">
        <x:v>https://app.sprinta.com.br/event/1018169e5599c47cbf</x:v>
      </x:c>
      <x:c r="I52" s="4" t="str">
        <x:v>https://business.roadrunners.run/eventos/?id_evento=45670</x:v>
      </x:c>
    </x:row>
    <x:row r="53" ht="88" customHeight="1">
      <x:c r="A53" s="4" t="str">
        <x:v>Mountain Do</x:v>
      </x:c>
      <x:c r="B53" s="4" t="str">
        <x:v>MOUNTAIN DO CHAPADA DOS VEADEIROS 2026</x:v>
      </x:c>
      <x:c r="C53" s="12" t="d">
        <x:v>2026-10-31T12:00:00.000Z</x:v>
      </x:c>
      <x:c r="D53" s="13" t="str">
        <x:v>43036</x:v>
      </x:c>
      <x:c r="E53" s="4" t="str">
        <x:v>PENDENTE</x:v>
      </x:c>
      <x:c r="F53" s="4" t="str">
        <x:v>Não relacionado</x:v>
      </x:c>
      <x:c r="G53" s="4" t="str">
        <x:v>Não foi obtida confirmação suficiente do organizador responsável e da edição futura na fonte consultada.</x:v>
      </x:c>
      <x:c r="H53" s="4" t="str">
        <x:v>https://storagefileta.blob.core.windows.net/ticketagora/arquivos/evento/74858/af444a03f8e84199a459683a7a1377f6638993262820107802.pdf</x:v>
      </x:c>
      <x:c r="I53" s="4" t="str">
        <x:v>https://business.roadrunners.run/eventos/?id_evento=43036</x:v>
      </x:c>
    </x:row>
    <x:row r="54" ht="88" customHeight="1">
      <x:c r="A54" s="4" t="str">
        <x:v>ON EVENTOS ESPORTIVOS</x:v>
      </x:c>
      <x:c r="B54" s="4" t="str">
        <x:v>Farol Fast Marathon 2026 - Revezamento</x:v>
      </x:c>
      <x:c r="C54" s="12" t="d">
        <x:v>2026-11-14T12:00:00.000Z</x:v>
      </x:c>
      <x:c r="D54" s="13" t="str">
        <x:v>42366</x:v>
      </x:c>
      <x:c r="E54" s="4" t="str">
        <x:v>CONFIRMADO</x:v>
      </x:c>
      <x:c r="F54" s="4" t="str">
        <x:v>Relacionado</x:v>
      </x:c>
      <x:c r="G54" s="4" t="str">
        <x:v>Organizador responsável e edição futura confirmados na fonte.</x:v>
      </x:c>
      <x:c r="H54" s="4" t="str">
        <x:v>https://www.onsportsoficial.com.br/painel/upload/doc/inscricao/doc-15-142dbbec228113c71da949a67ac85573.pdf</x:v>
      </x:c>
      <x:c r="I54" s="4" t="str">
        <x:v>https://business.roadrunners.run/eventos/?id_evento=42366</x:v>
      </x:c>
    </x:row>
    <x:row r="55" ht="88" customHeight="1">
      <x:c r="A55" s="4" t="str">
        <x:v>Pace 3 Eventos Esportivos</x:v>
      </x:c>
      <x:c r="B55" s="4" t="str">
        <x:v>CIRCUITO GRUPO CENTRAL - ETAPA NIGHT RUN IPATINGA 2026</x:v>
      </x:c>
      <x:c r="C55" s="12" t="d">
        <x:v>2026-11-07T12:00:00.000Z</x:v>
      </x:c>
      <x:c r="D55" s="13" t="str">
        <x:v>46253</x:v>
      </x:c>
      <x:c r="E55" s="4" t="str">
        <x:v>PENDENTE</x:v>
      </x:c>
      <x:c r="F55" s="4" t="str">
        <x:v>Não relacionado</x:v>
      </x:c>
      <x:c r="G55" s="4" t="str">
        <x:v>Não foi obtida confirmação suficiente do organizador responsável e da edição futura na fonte consultada.</x:v>
      </x:c>
      <x:c r="H55" s="4" t="str">
        <x:v>https://www.ticketsports.com.br/e/CIRCUITO+GRUPO+CENTRAL+-+ETAPA+NIGHT+RUN+IPATINGA+2026-87926</x:v>
      </x:c>
      <x:c r="I55" s="4" t="str">
        <x:v>https://business.roadrunners.run/eventos/?id_evento=46253</x:v>
      </x:c>
    </x:row>
    <x:row r="56" ht="88" customHeight="1">
      <x:c r="A56" s="4" t="str">
        <x:v>Pace 3 Eventos Esportivos</x:v>
      </x:c>
      <x:c r="B56" s="4" t="str">
        <x:v>CORRIDA BG SAI NA FRENTE 2026</x:v>
      </x:c>
      <x:c r="C56" s="12" t="d">
        <x:v>2026-10-24T12:00:00.000Z</x:v>
      </x:c>
      <x:c r="D56" s="13" t="str">
        <x:v>48425</x:v>
      </x:c>
      <x:c r="E56" s="4" t="str">
        <x:v>PENDENTE</x:v>
      </x:c>
      <x:c r="F56" s="4" t="str">
        <x:v>Não relacionado</x:v>
      </x:c>
      <x:c r="G56" s="4" t="str">
        <x:v>Não foi obtida confirmação suficiente do organizador responsável e da edição futura na fonte consultada.</x:v>
      </x:c>
      <x:c r="H56" s="4" t="str">
        <x:v>https://www.ticketsports.com.br/e/CORRIDA+BG+SAI+NA+FRENTE+2026-88537</x:v>
      </x:c>
      <x:c r="I56" s="4" t="str">
        <x:v>https://business.roadrunners.run/eventos/?id_evento=48425</x:v>
      </x:c>
    </x:row>
    <x:row r="57" ht="88" customHeight="1">
      <x:c r="A57" s="4" t="str">
        <x:v>Pace Eventos</x:v>
      </x:c>
      <x:c r="B57" s="4" t="str">
        <x:v>MARATONA DE VITÓRIA 2027</x:v>
      </x:c>
      <x:c r="C57" s="12" t="d">
        <x:v>2027-08-29T12:00:00.000Z</x:v>
      </x:c>
      <x:c r="D57" s="13" t="str">
        <x:v>47146</x:v>
      </x:c>
      <x:c r="E57" s="4" t="str">
        <x:v>CONFIRMADO</x:v>
      </x:c>
      <x:c r="F57" s="4" t="str">
        <x:v>Relacionado</x:v>
      </x:c>
      <x:c r="G57" s="4" t="str">
        <x:v>Organização PACE confirmada. Regulamento inclui 28 e 29/08/2027; o evento cadastrado corresponde à maratona de 29/08.</x:v>
      </x:c>
      <x:c r="H57" s="4" t="str">
        <x:v>https://storagefileta.blob.core.windows.net/ticketagora/arquivos/evento/88251/c9797e464fed4d4a830c43d23a714fde639236039846466297.pdf</x:v>
      </x:c>
      <x:c r="I57" s="4" t="str">
        <x:v>https://business.roadrunners.run/eventos/?id_evento=47146</x:v>
      </x:c>
    </x:row>
    <x:row r="58" ht="88" customHeight="1">
      <x:c r="A58" s="4" t="str">
        <x:v>Pepper Criativa Sport &amp; Business Agency</x:v>
      </x:c>
      <x:c r="B58" s="4" t="str">
        <x:v>SOROCABA SPEED RUN FULL LIFE 2026</x:v>
      </x:c>
      <x:c r="C58" s="12" t="d">
        <x:v>2026-11-30T12:00:00.000Z</x:v>
      </x:c>
      <x:c r="D58" s="13" t="str">
        <x:v>36652</x:v>
      </x:c>
      <x:c r="E58" s="4" t="str">
        <x:v>PENDENTE</x:v>
      </x:c>
      <x:c r="F58" s="4" t="str">
        <x:v>Não relacionado</x:v>
      </x:c>
      <x:c r="G58" s="4" t="str">
        <x:v>Não foi obtida confirmação suficiente do organizador responsável e da edição futura na fonte consultada.</x:v>
      </x:c>
      <x:c r="H58" s="4" t="str">
        <x:v>https://site.ticketsports.com.br/Inscricao/categoria.aspx?__idEvento=74787&amp;origem=ticketsports&amp;lang=pt-BR</x:v>
      </x:c>
      <x:c r="I58" s="4" t="str">
        <x:v>https://business.roadrunners.run/eventos/?id_evento=36652</x:v>
      </x:c>
    </x:row>
    <x:row r="59" ht="88" customHeight="1">
      <x:c r="A59" s="4" t="str">
        <x:v>PODIUM SPORT</x:v>
      </x:c>
      <x:c r="B59" s="4" t="str">
        <x:v>CORRIDA DO EMPREENDEDOR</x:v>
      </x:c>
      <x:c r="C59" s="12" t="d">
        <x:v>2026-11-21T12:00:00.000Z</x:v>
      </x:c>
      <x:c r="D59" s="13" t="str">
        <x:v>46059</x:v>
      </x:c>
      <x:c r="E59" s="4" t="str">
        <x:v>CONFIRMADO</x:v>
      </x:c>
      <x:c r="F59" s="4" t="str">
        <x:v>Relacionado</x:v>
      </x:c>
      <x:c r="G59" s="4" t="str">
        <x:v>Organizador responsável e edição futura confirmados na fonte.</x:v>
      </x:c>
      <x:c r="H59" s="4" t="str">
        <x:v>https://www.sympla.com.br/evento/corrida-do-empreendedor/3507619</x:v>
      </x:c>
      <x:c r="I59" s="4" t="str">
        <x:v>https://business.roadrunners.run/eventos/?id_evento=46059</x:v>
      </x:c>
    </x:row>
    <x:row r="60" ht="88" customHeight="1">
      <x:c r="A60" s="4" t="str">
        <x:v>PODIUM SPORT</x:v>
      </x:c>
      <x:c r="B60" s="4" t="str">
        <x:v>4ª MARATONA YOPRO DE PORTO VELHO</x:v>
      </x:c>
      <x:c r="C60" s="12" t="d">
        <x:v>2026-11-15T12:00:00.000Z</x:v>
      </x:c>
      <x:c r="D60" s="13" t="str">
        <x:v>46060</x:v>
      </x:c>
      <x:c r="E60" s="4" t="str">
        <x:v>CONFIRMADO</x:v>
      </x:c>
      <x:c r="F60" s="4" t="str">
        <x:v>Relacionado</x:v>
      </x:c>
      <x:c r="G60" s="4" t="str">
        <x:v>Organizador responsável e edição futura confirmados na fonte.</x:v>
      </x:c>
      <x:c r="H60" s="4" t="str">
        <x:v>https://www.sympla.com.br/evento/4a-maratona-yopro-de-porto-velho/3493792</x:v>
      </x:c>
      <x:c r="I60" s="4" t="str">
        <x:v>https://business.roadrunners.run/eventos/?id_evento=46060</x:v>
      </x:c>
    </x:row>
    <x:row r="61" ht="88" customHeight="1">
      <x:c r="A61" s="4" t="str">
        <x:v>PODIUM SPORT</x:v>
      </x:c>
      <x:c r="B61" s="4" t="str">
        <x:v>1º CORRIDA ALIANÇA PELA VIDA</x:v>
      </x:c>
      <x:c r="C61" s="12" t="d">
        <x:v>2026-10-31T12:00:00.000Z</x:v>
      </x:c>
      <x:c r="D61" s="13" t="str">
        <x:v>46064</x:v>
      </x:c>
      <x:c r="E61" s="4" t="str">
        <x:v>CONFIRMADO</x:v>
      </x:c>
      <x:c r="F61" s="4" t="str">
        <x:v>Relacionado</x:v>
      </x:c>
      <x:c r="G61" s="4" t="str">
        <x:v>Organizador responsável e edição futura confirmados na fonte.</x:v>
      </x:c>
      <x:c r="H61" s="4" t="str">
        <x:v>https://www.sympla.com.br/evento/1o-corrida-alianca-pela-vida/3520403</x:v>
      </x:c>
      <x:c r="I61" s="4" t="str">
        <x:v>https://business.roadrunners.run/eventos/?id_evento=46064</x:v>
      </x:c>
    </x:row>
    <x:row r="62" ht="88" customHeight="1">
      <x:c r="A62" s="4" t="str">
        <x:v>PODIUM SPORT</x:v>
      </x:c>
      <x:c r="B62" s="4" t="str">
        <x:v>1ª CORRIDA DO MÉDICO</x:v>
      </x:c>
      <x:c r="C62" s="12" t="d">
        <x:v>2026-10-17T12:00:00.000Z</x:v>
      </x:c>
      <x:c r="D62" s="13" t="str">
        <x:v>45663</x:v>
      </x:c>
      <x:c r="E62" s="4" t="str">
        <x:v>CONFIRMADO</x:v>
      </x:c>
      <x:c r="F62" s="4" t="str">
        <x:v>Relacionado</x:v>
      </x:c>
      <x:c r="G62" s="4" t="str">
        <x:v>Organizador responsável e edição futura confirmados na fonte.</x:v>
      </x:c>
      <x:c r="H62" s="4" t="str">
        <x:v>https://www.sympla.com.br/evento/1a-corrida-do-medico/3487297</x:v>
      </x:c>
      <x:c r="I62" s="4" t="str">
        <x:v>https://business.roadrunners.run/eventos/?id_evento=45663</x:v>
      </x:c>
    </x:row>
    <x:row r="63" ht="88" customHeight="1">
      <x:c r="A63" s="4" t="str">
        <x:v>RG+</x:v>
      </x:c>
      <x:c r="B63" s="4" t="str">
        <x:v>FEIRA NIGHT RUN ANÁLISE 2026</x:v>
      </x:c>
      <x:c r="C63" s="12" t="d">
        <x:v>2026-11-07T12:00:00.000Z</x:v>
      </x:c>
      <x:c r="D63" s="13" t="str">
        <x:v>36657</x:v>
      </x:c>
      <x:c r="E63" s="4" t="str">
        <x:v>CONFIRMADO</x:v>
      </x:c>
      <x:c r="F63" s="4" t="str">
        <x:v>Relacionado</x:v>
      </x:c>
      <x:c r="G63" s="4" t="str">
        <x:v>Organizador responsável e edição futura confirmados na fonte.</x:v>
      </x:c>
      <x:c r="H63" s="4" t="str">
        <x:v>https://storagefileta.blob.core.windows.net/ticketagora/arquivos/evento/74808/652b65d32bcd47b693cddb353437b3c2638989970742959944.pdf</x:v>
      </x:c>
      <x:c r="I63" s="4" t="str">
        <x:v>https://business.roadrunners.run/eventos/?id_evento=36657</x:v>
      </x:c>
    </x:row>
    <x:row r="64" ht="88" customHeight="1">
      <x:c r="A64" s="4" t="str">
        <x:v>RG+</x:v>
      </x:c>
      <x:c r="B64" s="4" t="str">
        <x:v>MEIA MARATONA BLUE RUN SALVADOR 2026</x:v>
      </x:c>
      <x:c r="C64" s="12" t="d">
        <x:v>2026-11-01T12:00:00.000Z</x:v>
      </x:c>
      <x:c r="D64" s="13" t="str">
        <x:v>38203</x:v>
      </x:c>
      <x:c r="E64" s="4" t="str">
        <x:v>PENDENTE</x:v>
      </x:c>
      <x:c r="F64" s="4" t="str">
        <x:v>Não relacionado</x:v>
      </x:c>
      <x:c r="G64" s="4" t="str">
        <x:v>Não foi obtida confirmação suficiente do organizador responsável e da edição futura na fonte consultada.</x:v>
      </x:c>
      <x:c r="H64" s="4" t="str">
        <x:v>https://storagefileta.blob.core.windows.net/ticketagora/arquivos/evento/74809/30622cf3388147cbb47c6e4908a3e3f3639129092886887714.pdf</x:v>
      </x:c>
      <x:c r="I64" s="4" t="str">
        <x:v>https://business.roadrunners.run/eventos/?id_evento=38203</x:v>
      </x:c>
    </x:row>
    <x:row r="65" ht="88" customHeight="1">
      <x:c r="A65" s="4" t="str">
        <x:v>RG+</x:v>
      </x:c>
      <x:c r="B65" s="4" t="str">
        <x:v>CORRIDA KIDS BOULEVARD SHOPPING 2026</x:v>
      </x:c>
      <x:c r="C65" s="12" t="d">
        <x:v>2026-10-18T12:00:00.000Z</x:v>
      </x:c>
      <x:c r="D65" s="13" t="str">
        <x:v>45587</x:v>
      </x:c>
      <x:c r="E65" s="4" t="str">
        <x:v>PENDENTE</x:v>
      </x:c>
      <x:c r="F65" s="4" t="str">
        <x:v>Não relacionado</x:v>
      </x:c>
      <x:c r="G65" s="4" t="str">
        <x:v>Não foi obtida confirmação suficiente do organizador responsável e da edição futura na fonte consultada.</x:v>
      </x:c>
      <x:c r="H65" s="4" t="str">
        <x:v>https://storagefileta.blob.core.windows.net/ticketagora/arquivos/evento/86964/8fd17d388f654622a7e97f14ea72c827639201625822070956.pdf</x:v>
      </x:c>
      <x:c r="I65" s="4" t="str">
        <x:v>https://business.roadrunners.run/eventos/?id_evento=45587</x:v>
      </x:c>
    </x:row>
    <x:row r="66" ht="88" customHeight="1">
      <x:c r="A66" s="4" t="str">
        <x:v>RUN SPORTS</x:v>
      </x:c>
      <x:c r="B66" s="4" t="str">
        <x:v>New Balance 42k Porto Alegre 2027</x:v>
      </x:c>
      <x:c r="C66" s="12" t="d">
        <x:v>2027-08-21T12:00:00.000Z</x:v>
      </x:c>
      <x:c r="D66" s="13" t="str">
        <x:v>45365</x:v>
      </x:c>
      <x:c r="E66" s="4" t="str">
        <x:v>CONFIRMADO</x:v>
      </x:c>
      <x:c r="F66" s="4" t="str">
        <x:v>Relacionado</x:v>
      </x:c>
      <x:c r="G66" s="4" t="str">
        <x:v>Organizador responsável e edição futura confirmados na fonte.</x:v>
      </x:c>
      <x:c r="H66" s="4" t="str">
        <x:v>https://storagefileta.blob.core.windows.net/ticketagora/arquivos/evento/87987/b645cea51ff242f796f0b11b37322bdf639229252198669453.pdf</x:v>
      </x:c>
      <x:c r="I66" s="4" t="str">
        <x:v>https://business.roadrunners.run/eventos/?id_evento=45365</x:v>
      </x:c>
    </x:row>
    <x:row r="67" ht="88" customHeight="1">
      <x:c r="A67" s="4" t="str">
        <x:v>RUN SPORTS</x:v>
      </x:c>
      <x:c r="B67" s="4" t="str">
        <x:v>SUMMER 48K 2026</x:v>
      </x:c>
      <x:c r="C67" s="12" t="d">
        <x:v>2026-12-05T12:00:00.000Z</x:v>
      </x:c>
      <x:c r="D67" s="13" t="str">
        <x:v>47877</x:v>
      </x:c>
      <x:c r="E67" s="4" t="str">
        <x:v>CONFIRMADO</x:v>
      </x:c>
      <x:c r="F67" s="4" t="str">
        <x:v>Relacionado</x:v>
      </x:c>
      <x:c r="G67" s="4" t="str">
        <x:v>Organizador responsável e edição futura confirmados na fonte.</x:v>
      </x:c>
      <x:c r="H67" s="4" t="str">
        <x:v>https://storagefileta.blob.core.windows.net/ticketagora/arquivos/evento/88395/73b8db1c1a914b68b76affb1be3a59b3639249921405503986.pdf</x:v>
      </x:c>
      <x:c r="I67" s="4" t="str">
        <x:v>https://business.roadrunners.run/eventos/?id_evento=47877</x:v>
      </x:c>
    </x:row>
    <x:row r="68" ht="88" customHeight="1">
      <x:c r="A68" s="4" t="str">
        <x:v>RUN SPORTS</x:v>
      </x:c>
      <x:c r="B68" s="4" t="str">
        <x:v>POA DAY RUN 2026 - 3ª ETAPA</x:v>
      </x:c>
      <x:c r="C68" s="12" t="d">
        <x:v>2026-11-29T12:00:00.000Z</x:v>
      </x:c>
      <x:c r="D68" s="13" t="str">
        <x:v>48990</x:v>
      </x:c>
      <x:c r="E68" s="4" t="str">
        <x:v>CONFIRMADO</x:v>
      </x:c>
      <x:c r="F68" s="4" t="str">
        <x:v>Relacionado</x:v>
      </x:c>
      <x:c r="G68" s="4" t="str">
        <x:v>Organizador responsável e edição futura confirmados na fonte.</x:v>
      </x:c>
      <x:c r="H68" s="4" t="str">
        <x:v>https://storagefileta.blob.core.windows.net/ticketagora/arquivos/evento/88622/c06211444eda4406a3cb6a0e04b675f9639264723128890006.pdf</x:v>
      </x:c>
      <x:c r="I68" s="4" t="str">
        <x:v>https://business.roadrunners.run/eventos/?id_evento=48990</x:v>
      </x:c>
    </x:row>
    <x:row r="69" ht="88" customHeight="1">
      <x:c r="A69" s="4" t="str">
        <x:v>RUN SPORTS</x:v>
      </x:c>
      <x:c r="B69" s="4" t="str">
        <x:v>CORRIDA DO GRÊMIO 2026</x:v>
      </x:c>
      <x:c r="C69" s="12" t="d">
        <x:v>2026-11-15T12:00:00.000Z</x:v>
      </x:c>
      <x:c r="D69" s="13" t="str">
        <x:v>44998</x:v>
      </x:c>
      <x:c r="E69" s="4" t="str">
        <x:v>CONFIRMADO</x:v>
      </x:c>
      <x:c r="F69" s="4" t="str">
        <x:v>Relacionado</x:v>
      </x:c>
      <x:c r="G69" s="4" t="str">
        <x:v>Organizador responsável e edição futura confirmados na fonte.</x:v>
      </x:c>
      <x:c r="H69" s="4" t="str">
        <x:v>https://storagefileta.blob.core.windows.net/ticketagora/arquivos/evento/87730/82cd3d7361414e3d95f8fb25c91d8993639192050225650097.pdf</x:v>
      </x:c>
      <x:c r="I69" s="4" t="str">
        <x:v>https://business.roadrunners.run/eventos/?id_evento=44998</x:v>
      </x:c>
    </x:row>
    <x:row r="70" ht="88" customHeight="1">
      <x:c r="A70" s="4" t="str">
        <x:v>RUN SPORTS</x:v>
      </x:c>
      <x:c r="B70" s="4" t="str">
        <x:v>POA LADIES RUN 2026</x:v>
      </x:c>
      <x:c r="C70" s="12" t="d">
        <x:v>2026-10-18T12:00:00.000Z</x:v>
      </x:c>
      <x:c r="D70" s="13" t="str">
        <x:v>47686</x:v>
      </x:c>
      <x:c r="E70" s="4" t="str">
        <x:v>CONFIRMADO</x:v>
      </x:c>
      <x:c r="F70" s="4" t="str">
        <x:v>Relacionado</x:v>
      </x:c>
      <x:c r="G70" s="4" t="str">
        <x:v>Organização Run Sports confirmada. Há erro de digitação 20256; a cláusula de largada confirma 18/10/2026.</x:v>
      </x:c>
      <x:c r="H70" s="4" t="str">
        <x:v>https://storagefileta.blob.core.windows.net/ticketagora/arquivos/evento/88344/ec50c04a6a514f01bfc6858a36f141e3639245420385292381.pdf</x:v>
      </x:c>
      <x:c r="I70" s="4" t="str">
        <x:v>https://business.roadrunners.run/eventos/?id_evento=47686</x:v>
      </x:c>
    </x:row>
    <x:row r="71" ht="88" customHeight="1">
      <x:c r="A71" s="4" t="str">
        <x:v>Runk Marketing Esportivo LTDA</x:v>
      </x:c>
      <x:c r="B71" s="4" t="str">
        <x:v>Corrida Cinderela - Paulínia</x:v>
      </x:c>
      <x:c r="C71" s="12" t="d">
        <x:v>2027-01-31T12:00:00.000Z</x:v>
      </x:c>
      <x:c r="D71" s="13" t="str">
        <x:v>48419</x:v>
      </x:c>
      <x:c r="E71" s="4" t="str">
        <x:v>PENDENTE</x:v>
      </x:c>
      <x:c r="F71" s="4" t="str">
        <x:v>Não relacionado</x:v>
      </x:c>
      <x:c r="G71" s="4" t="str">
        <x:v>Cabeçalho da prova indica 2026, enquanto data interna e cadastro indicam 31/01/2027. Confirmar edição.</x:v>
      </x:c>
      <x:c r="H71" s="4" t="str">
        <x:v>https://storagefileta.blob.core.windows.net/ticketagora/arquivos/evento/88502/ace8d808836947e9bad0eb05482ecf25639257808165585840.pdf</x:v>
      </x:c>
      <x:c r="I71" s="4" t="str">
        <x:v>https://business.roadrunners.run/eventos/?id_evento=48419</x:v>
      </x:c>
    </x:row>
    <x:row r="72" ht="88" customHeight="1">
      <x:c r="A72" s="4" t="str">
        <x:v>Sagaz Esportes</x:v>
      </x:c>
      <x:c r="B72" s="4" t="str">
        <x:v>2ª MEIA MARATONA DE OSASCO 2027</x:v>
      </x:c>
      <x:c r="C72" s="12" t="d">
        <x:v>2027-02-21T12:00:00.000Z</x:v>
      </x:c>
      <x:c r="D72" s="13" t="str">
        <x:v>48717</x:v>
      </x:c>
      <x:c r="E72" s="4" t="str">
        <x:v>PENDENTE</x:v>
      </x:c>
      <x:c r="F72" s="4" t="str">
        <x:v>Não relacionado</x:v>
      </x:c>
      <x:c r="G72" s="4" t="str">
        <x:v>Cadastro indica 2ª edição e regulamento 1ª edição.</x:v>
      </x:c>
      <x:c r="H72" s="4" t="str">
        <x:v>https://storagefileta.blob.core.windows.net/ticketagora/arquivos/evento/88508/c4c00405efd246d3aa23714595294f01639256709926106476.pdf</x:v>
      </x:c>
      <x:c r="I72" s="4" t="str">
        <x:v>https://business.roadrunners.run/eventos/?id_evento=48717</x:v>
      </x:c>
    </x:row>
    <x:row r="73" ht="88" customHeight="1">
      <x:c r="A73" s="4" t="str">
        <x:v>Sagaz Esportes</x:v>
      </x:c>
      <x:c r="B73" s="4" t="str">
        <x:v>2ª PACE RUN</x:v>
      </x:c>
      <x:c r="C73" s="12" t="d">
        <x:v>2026-11-22T12:00:00.000Z</x:v>
      </x:c>
      <x:c r="D73" s="13" t="str">
        <x:v>39849</x:v>
      </x:c>
      <x:c r="E73" s="4" t="str">
        <x:v>PENDENTE</x:v>
      </x:c>
      <x:c r="F73" s="4" t="str">
        <x:v>Não relacionado</x:v>
      </x:c>
      <x:c r="G73" s="4" t="str">
        <x:v>Regulamento informa 02/08/2026 e cadastro 22/11/2026.</x:v>
      </x:c>
      <x:c r="H73" s="4" t="str">
        <x:v>https://storagefileta.blob.core.windows.net/ticketagora/arquivos/evento/86002/ff92529015e04af5a901cb8ba90d6739639083000984301579.pdf</x:v>
      </x:c>
      <x:c r="I73" s="4" t="str">
        <x:v>https://business.roadrunners.run/eventos/?id_evento=39849</x:v>
      </x:c>
    </x:row>
    <x:row r="74" ht="88" customHeight="1">
      <x:c r="A74" s="4" t="str">
        <x:v>Sagaz Esportes</x:v>
      </x:c>
      <x:c r="B74" s="4" t="str">
        <x:v>URBAN TRAIL RUN - ETAPA 3 PARQUE HORTO FLORESTAL</x:v>
      </x:c>
      <x:c r="C74" s="12" t="d">
        <x:v>2026-10-18T12:00:00.000Z</x:v>
      </x:c>
      <x:c r="D74" s="13" t="str">
        <x:v>38571</x:v>
      </x:c>
      <x:c r="E74" s="4" t="str">
        <x:v>PENDENTE</x:v>
      </x:c>
      <x:c r="F74" s="4" t="str">
        <x:v>Não relacionado</x:v>
      </x:c>
      <x:c r="G74" s="4" t="str">
        <x:v>Regulamento identifica Etapa 2 e cadastro Etapa 3.</x:v>
      </x:c>
      <x:c r="H74" s="4" t="str">
        <x:v>https://storagefileta.blob.core.windows.net/ticketagora/arquivos/evento/85142/0048b3527acf48a592d7e2e53381a136639155749773191136.pdf</x:v>
      </x:c>
      <x:c r="I74" s="4" t="str">
        <x:v>https://business.roadrunners.run/eventos/?id_evento=38571</x:v>
      </x:c>
    </x:row>
    <x:row r="75" ht="88" customHeight="1">
      <x:c r="A75" s="4" t="str">
        <x:v>Speed Produções e Eventos</x:v>
      </x:c>
      <x:c r="B75" s="4" t="str">
        <x:v>CORRIDA MARATONINHA KIDS 2026</x:v>
      </x:c>
      <x:c r="C75" s="12" t="d">
        <x:v>2026-10-31T12:00:00.000Z</x:v>
      </x:c>
      <x:c r="D75" s="13" t="str">
        <x:v>36658</x:v>
      </x:c>
      <x:c r="E75" s="4" t="str">
        <x:v>CONFIRMADO</x:v>
      </x:c>
      <x:c r="F75" s="4" t="str">
        <x:v>Relacionado</x:v>
      </x:c>
      <x:c r="G75" s="4" t="str">
        <x:v>Organizador responsável e edição futura confirmados na fonte.</x:v>
      </x:c>
      <x:c r="H75" s="4" t="str">
        <x:v>https://storagefileta.blob.core.windows.net/ticketagora/arquivos/evento/74636/a6388bcea97649a9810798dbd05b6b5e638978726516324558.pdf</x:v>
      </x:c>
      <x:c r="I75" s="4" t="str">
        <x:v>https://business.roadrunners.run/eventos/?id_evento=36658</x:v>
      </x:c>
    </x:row>
    <x:row r="76" ht="88" customHeight="1">
      <x:c r="A76" s="4" t="str">
        <x:v>Speed Produções e Eventos</x:v>
      </x:c>
      <x:c r="B76" s="4" t="str">
        <x:v>Maratona de Aracaju 2026</x:v>
      </x:c>
      <x:c r="C76" s="12" t="d">
        <x:v>2026-10-31T12:00:00.000Z</x:v>
      </x:c>
      <x:c r="D76" s="13" t="str">
        <x:v>39399</x:v>
      </x:c>
      <x:c r="E76" s="4" t="str">
        <x:v>CONFIRMADO</x:v>
      </x:c>
      <x:c r="F76" s="4" t="str">
        <x:v>Relacionado</x:v>
      </x:c>
      <x:c r="G76" s="4" t="str">
        <x:v>Organizador responsável e edição futura confirmados na fonte.</x:v>
      </x:c>
      <x:c r="H76" s="4" t="str">
        <x:v>https://storagefileta.blob.core.windows.net/ticketagora/arquivos/evento/74615/a0044a5819624b7f806a63b3be624084639263834149282506.pdf</x:v>
      </x:c>
      <x:c r="I76" s="4" t="str">
        <x:v>https://business.roadrunners.run/eventos/?id_evento=39399</x:v>
      </x:c>
    </x:row>
    <x:row r="77" ht="88" customHeight="1">
      <x:c r="A77" s="4" t="str">
        <x:v>Speed Produções e Eventos</x:v>
      </x:c>
      <x:c r="B77" s="4" t="str">
        <x:v>2ª CORRIDA DA SOEA 2026</x:v>
      </x:c>
      <x:c r="C77" s="12" t="d">
        <x:v>2026-10-12T12:00:00.000Z</x:v>
      </x:c>
      <x:c r="D77" s="13" t="str">
        <x:v>47687</x:v>
      </x:c>
      <x:c r="E77" s="4" t="str">
        <x:v>CONFIRMADO</x:v>
      </x:c>
      <x:c r="F77" s="4" t="str">
        <x:v>Relacionado</x:v>
      </x:c>
      <x:c r="G77" s="4" t="str">
        <x:v>Organizador responsável e edição futura confirmados na fonte.</x:v>
      </x:c>
      <x:c r="H77" s="4" t="str">
        <x:v>https://storagefileta.blob.core.windows.net/ticketagora/arquivos/evento/88337/45979881b54c4769bff9e8e7a59a4917639244614151082991.pdf</x:v>
      </x:c>
      <x:c r="I77" s="4" t="str">
        <x:v>https://business.roadrunners.run/eventos/?id_evento=47687</x:v>
      </x:c>
    </x:row>
    <x:row r="78" ht="88" customHeight="1">
      <x:c r="A78" s="4" t="str">
        <x:v>Sports360º Eventos Esportivos</x:v>
      </x:c>
      <x:c r="B78" s="4" t="str">
        <x:v>CIRCUITO SESI DE CORRIDAS DAS INDÚSTRIAS - ETAPA TOLEDO</x:v>
      </x:c>
      <x:c r="C78" s="12" t="d">
        <x:v>2026-11-29T12:00:00.000Z</x:v>
      </x:c>
      <x:c r="D78" s="13" t="str">
        <x:v>45842</x:v>
      </x:c>
      <x:c r="E78" s="4" t="str">
        <x:v>PENDENTE</x:v>
      </x:c>
      <x:c r="F78" s="4" t="str">
        <x:v>Não relacionado</x:v>
      </x:c>
      <x:c r="G78" s="4" t="str">
        <x:v>Não foi obtida confirmação suficiente do organizador responsável e da edição futura na fonte consultada.</x:v>
      </x:c>
      <x:c r="H78" s="4" t="str">
        <x:v>https://www.ticketsports.com.br/e/CIRCUITO+SESI+DE+CORRIDAS+DAS+IND%C3%9ASTRIAS+-+ETAPA+TOLEDO-87960</x:v>
      </x:c>
      <x:c r="I78" s="4" t="str">
        <x:v>https://business.roadrunners.run/eventos/?id_evento=45842</x:v>
      </x:c>
    </x:row>
    <x:row r="79" ht="88" customHeight="1">
      <x:c r="A79" s="4" t="str">
        <x:v>Sports360º Eventos Esportivos</x:v>
      </x:c>
      <x:c r="B79" s="4" t="str">
        <x:v>FINAL DO CIRCUITO PROCORRER 2026 - MIZUNO</x:v>
      </x:c>
      <x:c r="C79" s="12" t="d">
        <x:v>2026-11-21T12:00:00.000Z</x:v>
      </x:c>
      <x:c r="D79" s="13" t="str">
        <x:v>47669</x:v>
      </x:c>
      <x:c r="E79" s="4" t="str">
        <x:v>PENDENTE</x:v>
      </x:c>
      <x:c r="F79" s="4" t="str">
        <x:v>Não relacionado</x:v>
      </x:c>
      <x:c r="G79" s="4" t="str">
        <x:v>Não foi obtida confirmação suficiente do organizador responsável e da edição futura na fonte consultada.</x:v>
      </x:c>
      <x:c r="H79" s="4" t="str">
        <x:v>https://www.ticketsports.com.br/e/FINAL+DO+CIRCUITO+PROCORRER+2026+-+MIZUNO-88006</x:v>
      </x:c>
      <x:c r="I79" s="4" t="str">
        <x:v>https://business.roadrunners.run/eventos/?id_evento=47669</x:v>
      </x:c>
    </x:row>
    <x:row r="80" ht="88" customHeight="1">
      <x:c r="A80" s="4" t="str">
        <x:v>Sports360º Eventos Esportivos</x:v>
      </x:c>
      <x:c r="B80" s="4" t="str">
        <x:v>CIRCUITO SESI DE CORRIDAS DAS INDÚSTRIAS - ETAPA FOZ DO IGUAÇU</x:v>
      </x:c>
      <x:c r="C80" s="12" t="d">
        <x:v>2026-11-08T12:00:00.000Z</x:v>
      </x:c>
      <x:c r="D80" s="13" t="str">
        <x:v>45869</x:v>
      </x:c>
      <x:c r="E80" s="4" t="str">
        <x:v>PENDENTE</x:v>
      </x:c>
      <x:c r="F80" s="4" t="str">
        <x:v>Não relacionado</x:v>
      </x:c>
      <x:c r="G80" s="4" t="str">
        <x:v>Não foi obtida confirmação suficiente do organizador responsável e da edição futura na fonte consultada.</x:v>
      </x:c>
      <x:c r="H80" s="4" t="str">
        <x:v>https://www.ticketsports.com.br/e/CIRCUITO+SESI+DE+CORRIDAS+DAS+IND%C3%9ASTRIAS+-+ETAPA+FOZ+DO+IGUA%C3%87U-87857</x:v>
      </x:c>
      <x:c r="I80" s="4" t="str">
        <x:v>https://business.roadrunners.run/eventos/?id_evento=45869</x:v>
      </x:c>
    </x:row>
    <x:row r="81" ht="88" customHeight="1">
      <x:c r="A81" s="4" t="str">
        <x:v>Taboada Runners</x:v>
      </x:c>
      <x:c r="B81" s="4" t="str">
        <x:v>6ª Corrida dos Médicos</x:v>
      </x:c>
      <x:c r="C81" s="12" t="d">
        <x:v>2026-10-18T12:00:00.000Z</x:v>
      </x:c>
      <x:c r="D81" s="13" t="str">
        <x:v>46959</x:v>
      </x:c>
      <x:c r="E81" s="4" t="str">
        <x:v>PENDENTE</x:v>
      </x:c>
      <x:c r="F81" s="4" t="str">
        <x:v>Não relacionado</x:v>
      </x:c>
      <x:c r="G81" s="4" t="str">
        <x:v>Não foi obtida confirmação suficiente do organizador responsável e da edição futura na fonte consultada.</x:v>
      </x:c>
      <x:c r="H81" s="4" t="str">
        <x:v>https://www.ticketsports.com.br/e/6%C2%AA+Corrida+dos+M%C3%A9dicos-87913</x:v>
      </x:c>
      <x:c r="I81" s="4" t="str">
        <x:v>https://business.roadrunners.run/eventos/?id_evento=46959</x:v>
      </x:c>
    </x:row>
    <x:row r="82" ht="88" customHeight="1">
      <x:c r="A82" s="4" t="str">
        <x:v>To Goal Sports</x:v>
      </x:c>
      <x:c r="B82" s="4" t="str">
        <x:v>Maratona Internacional de Manaus</x:v>
      </x:c>
      <x:c r="C82" s="12" t="d">
        <x:v>2027-03-27T12:00:00.000Z</x:v>
      </x:c>
      <x:c r="D82" s="13" t="str">
        <x:v>48714</x:v>
      </x:c>
      <x:c r="E82" s="4" t="str">
        <x:v>PENDENTE</x:v>
      </x:c>
      <x:c r="F82" s="4" t="str">
        <x:v>Não relacionado</x:v>
      </x:c>
      <x:c r="G82" s="4" t="str">
        <x:v>Não foi obtida confirmação suficiente do organizador responsável e da edição futura na fonte consultada.</x:v>
      </x:c>
      <x:c r="H82" s="4" t="str">
        <x:v>https://app.sprinta.com.br/event/1401976a689d5d1dd81</x:v>
      </x:c>
      <x:c r="I82" s="4" t="str">
        <x:v>https://business.roadrunners.run/eventos/?id_evento=48714</x:v>
      </x:c>
    </x:row>
    <x:row r="83" ht="88" customHeight="1">
      <x:c r="A83" s="4" t="str">
        <x:v>To Goal Sports</x:v>
      </x:c>
      <x:c r="B83" s="4" t="str">
        <x:v>MEIA MARATONA DO FOGO - 2026</x:v>
      </x:c>
      <x:c r="C83" s="12" t="d">
        <x:v>2026-12-13T12:00:00.000Z</x:v>
      </x:c>
      <x:c r="D83" s="13" t="str">
        <x:v>48978</x:v>
      </x:c>
      <x:c r="E83" s="4" t="str">
        <x:v>CONFIRMADO</x:v>
      </x:c>
      <x:c r="F83" s="4" t="str">
        <x:v>Relacionado</x:v>
      </x:c>
      <x:c r="G83" s="4" t="str">
        <x:v>Organizador responsável e edição futura confirmados na fonte.</x:v>
      </x:c>
      <x:c r="H83" s="4" t="str">
        <x:v>https://storagefileta.blob.core.windows.net/ticketagora/arquivos/evento/88521/7e02ff66e38f4598aaf77cf5b173e708639267610939565860.pdf</x:v>
      </x:c>
      <x:c r="I83" s="4" t="str">
        <x:v>https://business.roadrunners.run/eventos/?id_evento=48978</x:v>
      </x:c>
    </x:row>
    <x:row r="84" ht="88" customHeight="1">
      <x:c r="A84" s="4" t="str">
        <x:v>To Goal Sports</x:v>
      </x:c>
      <x:c r="B84" s="4" t="str">
        <x:v>CORRIDA CASA DAS CORREIAS - RUN CDC 2026</x:v>
      </x:c>
      <x:c r="C84" s="12" t="d">
        <x:v>2026-11-20T12:00:00.000Z</x:v>
      </x:c>
      <x:c r="D84" s="13" t="str">
        <x:v>47672</x:v>
      </x:c>
      <x:c r="E84" s="4" t="str">
        <x:v>CONFIRMADO</x:v>
      </x:c>
      <x:c r="F84" s="4" t="str">
        <x:v>Relacionado</x:v>
      </x:c>
      <x:c r="G84" s="4" t="str">
        <x:v>Organizador responsável e edição futura confirmados na fonte.</x:v>
      </x:c>
      <x:c r="H84" s="4" t="str">
        <x:v>https://storagefileta.blob.core.windows.net/ticketagora/arquivos/evento/88332/5a8cf3ef860f49ae9188d7f0f2f15cf7639247184363470373.pdf</x:v>
      </x:c>
      <x:c r="I84" s="4" t="str">
        <x:v>https://business.roadrunners.run/eventos/?id_evento=47672</x:v>
      </x:c>
    </x:row>
    <x:row r="85" ht="88" customHeight="1">
      <x:c r="A85" s="4" t="str">
        <x:v>To Goal Sports</x:v>
      </x:c>
      <x:c r="B85" s="4" t="str">
        <x:v>Ultra Trail Amazônica 2026</x:v>
      </x:c>
      <x:c r="C85" s="12" t="d">
        <x:v>2026-10-31T12:00:00.000Z</x:v>
      </x:c>
      <x:c r="D85" s="13" t="str">
        <x:v>44524</x:v>
      </x:c>
      <x:c r="E85" s="4" t="str">
        <x:v>PENDENTE</x:v>
      </x:c>
      <x:c r="F85" s="4" t="str">
        <x:v>Não relacionado</x:v>
      </x:c>
      <x:c r="G85" s="4" t="str">
        <x:v>Não foi obtida confirmação suficiente do organizador responsável e da edição futura na fonte consultada.</x:v>
      </x:c>
      <x:c r="H85" s="4" t="str">
        <x:v>https://app.sprinta.com.br/e/ultra-trail-amazonica-2026_1f25</x:v>
      </x:c>
      <x:c r="I85" s="4" t="str">
        <x:v>https://business.roadrunners.run/eventos/?id_evento=44524</x:v>
      </x:c>
    </x:row>
    <x:row r="86" ht="88" customHeight="1">
      <x:c r="A86" s="4" t="str">
        <x:v>To Goal Sports</x:v>
      </x:c>
      <x:c r="B86" s="4" t="str">
        <x:v>1ª CORRIDA DO PROFISSIONAL DE EDUCAÇÃO FÍSICA</x:v>
      </x:c>
      <x:c r="C86" s="12" t="d">
        <x:v>2026-10-24T12:00:00.000Z</x:v>
      </x:c>
      <x:c r="D86" s="13" t="str">
        <x:v>48085</x:v>
      </x:c>
      <x:c r="E86" s="4" t="str">
        <x:v>CONFIRMADO</x:v>
      </x:c>
      <x:c r="F86" s="4" t="str">
        <x:v>Relacionado</x:v>
      </x:c>
      <x:c r="G86" s="4" t="str">
        <x:v>Organizador responsável e edição futura confirmados na fonte.</x:v>
      </x:c>
      <x:c r="H86" s="4" t="str">
        <x:v>https://storagefileta.blob.core.windows.net/ticketagora/arquivos/evento/88470/1d23e6a5abcc4a2e888d8a66eba1b689639255408276352122.pdf</x:v>
      </x:c>
      <x:c r="I86" s="4" t="str">
        <x:v>https://business.roadrunners.run/eventos/?id_evento=48085</x:v>
      </x:c>
    </x:row>
    <x:row r="87" ht="88" customHeight="1">
      <x:c r="A87" s="4" t="str">
        <x:v>To Goal Sports</x:v>
      </x:c>
      <x:c r="B87" s="4" t="str">
        <x:v>1ª CORRIDA E CAMINHADA DA ODONTOLOGIA</x:v>
      </x:c>
      <x:c r="C87" s="12" t="d">
        <x:v>2026-10-18T12:00:00.000Z</x:v>
      </x:c>
      <x:c r="D87" s="13" t="str">
        <x:v>48240</x:v>
      </x:c>
      <x:c r="E87" s="4" t="str">
        <x:v>CONFIRMADO</x:v>
      </x:c>
      <x:c r="F87" s="4" t="str">
        <x:v>Relacionado</x:v>
      </x:c>
      <x:c r="G87" s="4" t="str">
        <x:v>Organizador responsável e edição futura confirmados na fonte.</x:v>
      </x:c>
      <x:c r="H87" s="4" t="str">
        <x:v>https://storagefileta.blob.core.windows.net/ticketagora/arquivos/evento/88471/7405283fac2b4c3fa699399f1d2ecc0d639256196219306892.pdf</x:v>
      </x:c>
      <x:c r="I87" s="4" t="str">
        <x:v>https://business.roadrunners.run/eventos/?id_evento=48240</x:v>
      </x:c>
    </x:row>
    <x:row r="88" ht="88" customHeight="1">
      <x:c r="A88" s="4" t="str">
        <x:v>ZBR EVENTS</x:v>
      </x:c>
      <x:c r="B88" s="4" t="str">
        <x:v>IGT23K 2027</x:v>
      </x:c>
      <x:c r="C88" s="12" t="d">
        <x:v>2027-03-21T12:00:00.000Z</x:v>
      </x:c>
      <x:c r="D88" s="13" t="str">
        <x:v>47888</x:v>
      </x:c>
      <x:c r="E88" s="4" t="str">
        <x:v>CONFIRMADO</x:v>
      </x:c>
      <x:c r="F88" s="4" t="str">
        <x:v>Relacionado</x:v>
      </x:c>
      <x:c r="G88" s="4" t="str">
        <x:v>Organizador responsável e edição futura confirmados na fonte.</x:v>
      </x:c>
      <x:c r="H88" s="4" t="str">
        <x:v>https://zbrevents.com.br/igt23k/regulamento/</x:v>
      </x:c>
      <x:c r="I88" s="4" t="str">
        <x:v>https://business.roadrunners.run/eventos/?id_evento=47888</x:v>
      </x:c>
    </x:row>
    <x:row r="89" ht="88" customHeight="1">
      <x:c r="A89" s="4" t="str">
        <x:v>ZBR EVENTS</x:v>
      </x:c>
      <x:c r="B89" s="4" t="str">
        <x:v>CORRE BURRAO 2026</x:v>
      </x:c>
      <x:c r="C89" s="12" t="d">
        <x:v>2026-11-08T12:00:00.000Z</x:v>
      </x:c>
      <x:c r="D89" s="13" t="str">
        <x:v>47911</x:v>
      </x:c>
      <x:c r="E89" s="4" t="str">
        <x:v>PENDENTE</x:v>
      </x:c>
      <x:c r="F89" s="4" t="str">
        <x:v>Não relacionado</x:v>
      </x:c>
      <x:c r="G89" s="4" t="str">
        <x:v>Não foi obtida confirmação suficiente do organizador responsável e da edição futura na fonte consultada.</x:v>
      </x:c>
      <x:c r="H89" s="4" t="str">
        <x:v>https://zbrevents.com.br/correburrao/</x:v>
      </x:c>
      <x:c r="I89" s="4" t="str">
        <x:v>https://business.roadrunners.run/eventos/?id_evento=47911</x:v>
      </x:c>
    </x:row>
    <x:row r="90" ht="88" customHeight="1">
      <x:c r="A90" s="4" t="str">
        <x:v>ZBR EVENTS</x:v>
      </x:c>
      <x:c r="B90" s="4" t="str">
        <x:v>GUARANI RACE 2026 PITA</x:v>
      </x:c>
      <x:c r="C90" s="12" t="d">
        <x:v>2026-10-24T12:00:00.000Z</x:v>
      </x:c>
      <x:c r="D90" s="13" t="str">
        <x:v>48511</x:v>
      </x:c>
      <x:c r="E90" s="4" t="str">
        <x:v>CONFIRMADO</x:v>
      </x:c>
      <x:c r="F90" s="4" t="str">
        <x:v>Relacionado</x:v>
      </x:c>
      <x:c r="G90" s="4" t="str">
        <x:v>Organizador responsável e edição futura confirmados na fonte.</x:v>
      </x:c>
      <x:c r="H90" s="4" t="str">
        <x:v>https://zbrevents.com.br/guaranirace/pita/regulamento</x:v>
      </x:c>
      <x:c r="I90" s="4" t="str">
        <x:v>https://business.roadrunners.run/eventos/?id_evento=48511</x:v>
      </x:c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</x:row>
  </x:sheetData>
  <x:conditionalFormatting sqref="E7:E90">
    <x:cfRule type="containsText" dxfId="0" priority="1" operator="containsText" text="PENDENTE"/>
  </x:conditionalFormatting>
  <x:pageMargins left="0.7" right="0.7" top="0.75" bottom="0.75" header="0.3" footer="0.3"/>
  <x:tableParts count="1">
    <x:tablePart xmlns:r="http://schemas.openxmlformats.org/officeDocument/2006/relationships" r:id="Rd6ed8399851f4c46"/>
  </x:tableParts>
</x:worksheet>
</file>