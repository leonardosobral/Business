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33dc2616a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ation" sheetId="1" r:id="R3007c25e978c4700"/>
    <x:sheet xmlns:r="http://schemas.openxmlformats.org/officeDocument/2006/relationships" name="Premissas" sheetId="2" r:id="Rbfb032186a5a41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&quot;R$ &quot;#,##0;(&quot;R$ &quot;#,##0);&quot;–&quot;"/>
    <x:numFmt numFmtId="202" formatCode="#,##0;(#,##0);&quot;–&quot;"/>
    <x:numFmt numFmtId="203" formatCode="0.0%;(0.0%);&quot;–&quot;"/>
    <x:numFmt numFmtId="204" formatCode="0.0&quot;x&quot;"/>
    <x:numFmt numFmtId="205" formatCode="dd/mm/yyyy"/>
    <x:numFmt numFmtId="206" formatCode="0.000"/>
  </x:numFmts>
  <x:fonts count="7">
    <x:font>
      <x:sz val="11"/>
      <x:name val="Carlito"/>
    </x:font>
    <x:font>
      <x:sz val="10"/>
      <x:color rgb="FF202B35"/>
      <x:name val="Arial"/>
    </x:font>
    <x:font>
      <x:b/>
      <x:sz val="16"/>
      <x:color rgb="FF203A55"/>
      <x:name val="Arial"/>
    </x:font>
    <x:font>
      <x:sz val="10"/>
      <x:color rgb="FF174BA1"/>
      <x:name val="Arial"/>
    </x:font>
    <x:font>
      <x:sz val="10"/>
      <x:color rgb="FF167044"/>
      <x:name val="Arial"/>
    </x:font>
    <x:font>
      <x:b/>
      <x:sz val="10"/>
      <x:color rgb="FFFFFFFF"/>
      <x:name val="Arial"/>
    </x:font>
    <x:font>
      <x:b/>
      <x:sz val="10"/>
      <x:color rgb="FF202B3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4D8"/>
      </x:patternFill>
    </x:fill>
    <x:fill>
      <x:patternFill patternType="solid">
        <x:fgColor rgb="FF203A55"/>
      </x:patternFill>
    </x:fill>
    <x:fill>
      <x:patternFill patternType="solid">
        <x:fgColor rgb="FFE9EFF5"/>
      </x:patternFill>
    </x:fill>
  </x:fills>
  <x:borders count="3">
    <x:border/>
    <x:border>
      <x:bottom style="thin">
        <x:color rgb="FF203A55"/>
      </x:bottom>
    </x:border>
    <x:border>
      <x:top style="thin">
        <x:color rgb="FFC4CED8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horizontal="right"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right" vertical="center"/>
    </x:xf>
    <x:xf numFmtId="201" fontId="3" fillId="2" borderId="0" xfId="0" applyNumberFormat="1" applyFont="1" applyFill="1" applyBorder="1" applyAlignment="1">
      <x:alignment horizontal="right" vertical="center"/>
    </x:xf>
    <x:xf numFmtId="202" fontId="3" fillId="2" borderId="0" xfId="0" applyNumberFormat="1" applyFont="1" applyFill="1" applyBorder="1" applyAlignment="1">
      <x:alignment horizontal="right" vertical="center"/>
    </x:xf>
    <x:xf numFmtId="203" fontId="3" fillId="2" borderId="0" xfId="0" applyNumberFormat="1" applyFont="1" applyFill="1" applyBorder="1" applyAlignment="1">
      <x:alignment horizontal="right" vertical="center"/>
    </x:xf>
    <x:xf numFmtId="204" fontId="3" fillId="2" borderId="0" xfId="0" applyNumberFormat="1" applyFont="1" applyFill="1" applyBorder="1" applyAlignment="1">
      <x:alignment horizontal="right" vertical="center"/>
    </x:xf>
    <x:xf numFmtId="205" fontId="3" fillId="2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horizontal="right" vertical="center"/>
    </x:xf>
    <x:xf numFmtId="205" fontId="6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horizontal="center" vertical="center"/>
    </x:xf>
    <x:xf numFmtId="205" fontId="6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right" vertical="center"/>
    </x:xf>
    <x:xf numFmtId="201" fontId="6" fillId="4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horizontal="right" vertical="center"/>
    </x:xf>
    <x:xf numFmtId="0" fontId="6" fillId="0" borderId="2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horizontal="right" vertical="center"/>
    </x:xf>
    <x:xf numFmtId="201" fontId="6" fillId="0" borderId="2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5">
    <x:dxf>
      <x:font>
        <x:color rgb="FFA32F33"/>
      </x:font>
      <x:fill>
        <x:patternFill patternType="solid">
          <x:bgColor rgb="FFFDEDEE"/>
        </x:patternFill>
      </x:fill>
    </x:dxf>
    <x:dxf>
      <x:font>
        <x:color rgb="FFA32F33"/>
      </x:font>
      <x:fill>
        <x:patternFill patternType="solid">
          <x:bgColor rgb="FFFDEDEE"/>
        </x:patternFill>
      </x:fill>
    </x:dxf>
    <x:dxf>
      <x:font>
        <x:color rgb="FFA32F33"/>
      </x:font>
      <x:fill>
        <x:patternFill patternType="solid">
          <x:bgColor rgb="FFFDEDEE"/>
        </x:patternFill>
      </x:fill>
    </x:dxf>
    <x:dxf>
      <x:font>
        <x:color rgb="FFA32F33"/>
      </x:font>
      <x:fill>
        <x:patternFill patternType="solid">
          <x:bgColor rgb="FFFDEDEE"/>
        </x:patternFill>
      </x:fill>
    </x:dxf>
    <x:dxf>
      <x:font>
        <x:color rgb="FFA32F33"/>
      </x:font>
      <x:fill>
        <x:patternFill patternType="solid">
          <x:bgColor rgb="FFFDED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8b1a0f793415a" /><Relationship Type="http://schemas.openxmlformats.org/officeDocument/2006/relationships/theme" Target="/xl/theme/theme1.xml" Id="R7187951bdbeb4125" /><Relationship Type="http://schemas.openxmlformats.org/officeDocument/2006/relationships/sharedStrings" Target="/xl/sharedStrings.xml" Id="R3b472e61b2504b6a" /><Relationship Type="http://schemas.openxmlformats.org/officeDocument/2006/relationships/worksheet" Target="/xl/worksheets/sheet1.xml" Id="R3007c25e978c4700" /><Relationship Type="http://schemas.openxmlformats.org/officeDocument/2006/relationships/worksheet" Target="/xl/worksheets/sheet2.xml" Id="Rbfb032186a5a41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A5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7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C1" s="2"/>
      <x:c r="D1" s="3"/>
      <x:c r="E1" s="3"/>
      <x:c r="F1" s="3"/>
      <x:c r="G1" s="3"/>
      <x:c r="H1" s="3"/>
      <x:c r="I1" s="3"/>
    </x:row>
    <x:row r="2" ht="30" customHeight="1">
      <x:c r="C2" s="4" t="str">
        <x:v>RunnerHub · valuation exploratório</x:v>
      </x:c>
      <x:c r="D2" s="3"/>
      <x:c r="E2" s="3"/>
      <x:c r="F2" s="3"/>
      <x:c r="G2" s="3"/>
      <x:c r="H2" s="3"/>
      <x:c r="I2" s="3"/>
    </x:row>
    <x:row r="3" ht="23" customHeight="1">
      <x:c r="C3" s="5"/>
      <x:c r="D3" s="6"/>
      <x:c r="E3" s="6"/>
      <x:c r="F3" s="6"/>
      <x:c r="G3" s="6"/>
      <x:c r="H3" s="6"/>
      <x:c r="I3" s="6"/>
    </x:row>
    <x:row r="4" ht="23" customHeight="1">
      <x:c r="C4" s="2" t="str">
        <x:v>Hipóteses de crescimento, não uma avaliação de mercado validada. Valores em reais.</x:v>
      </x:c>
      <x:c r="D4" s="3"/>
      <x:c r="E4" s="3"/>
      <x:c r="F4" s="3"/>
      <x:c r="G4" s="3"/>
      <x:c r="H4" s="3"/>
      <x:c r="I4" s="3"/>
    </x:row>
    <x:row r="5" ht="23" customHeight="1">
      <x:c r="C5" s="2" t="str">
        <x:v>Receitas futuras e taxas foram assumidas para explorar possibilidades, sem probabilidade atribuída.</x:v>
      </x:c>
      <x:c r="D5" s="3"/>
      <x:c r="E5" s="3"/>
      <x:c r="F5" s="3"/>
      <x:c r="G5" s="3"/>
      <x:c r="H5" s="3"/>
      <x:c r="I5" s="3"/>
    </x:row>
    <x:row r="6" ht="23" customHeight="1">
      <x:c r="C6" s="2" t="str">
        <x:v>Cenário selecionado</x:v>
      </x:c>
      <x:c r="D6" s="11" t="str">
        <x:f>'Premissas'!E6</x:f>
        <x:v>Expansão forte</x:v>
      </x:c>
      <x:c r="E6" s="3"/>
      <x:c r="F6" s="3"/>
      <x:c r="G6" s="3"/>
      <x:c r="H6" s="3"/>
      <x:c r="I6" s="3"/>
    </x:row>
    <x:row r="7" ht="23" customHeight="1">
      <x:c r="C7" s="2"/>
      <x:c r="D7" s="3"/>
      <x:c r="E7" s="3"/>
      <x:c r="F7" s="3"/>
      <x:c r="G7" s="3"/>
      <x:c r="H7" s="3"/>
      <x:c r="I7" s="3"/>
    </x:row>
    <x:row r="8" ht="23" customHeight="1">
      <x:c r="C8" s="28" t="str">
        <x:v>Valor presente da operação (EV)</x:v>
      </x:c>
      <x:c r="D8" s="30" t="n">
        <x:f>SUM(E42:I42)+I44</x:f>
        <x:v>713273.3384899152</x:v>
      </x:c>
      <x:c r="E8" s="3"/>
      <x:c r="F8" s="3"/>
      <x:c r="G8" s="3"/>
      <x:c r="H8" s="3"/>
      <x:c r="I8" s="3"/>
    </x:row>
    <x:row r="9" ht="23" customHeight="1">
      <x:c r="C9" s="2" t="str">
        <x:v>Valor societário antes do aporte</x:v>
      </x:c>
      <x:c r="D9" s="32" t="str">
        <x:f>IF(ISNUMBER('Premissas'!D16),D8+'Premissas'!D16-'Premissas'!D15,"n.a.")</x:f>
        <x:v>n.a.</x:v>
      </x:c>
      <x:c r="E9" s="10" t="str">
        <x:v>Caixa não informado; preencher na aba Premissas.</x:v>
      </x:c>
      <x:c r="F9" s="10"/>
      <x:c r="G9" s="10"/>
      <x:c r="H9" s="10"/>
      <x:c r="I9" s="10"/>
    </x:row>
    <x:row r="10" ht="23" customHeight="1">
      <x:c r="C10" s="2" t="str">
        <x:v>Déficit acumulado máximo do cenário</x:v>
      </x:c>
      <x:c r="D10" s="32" t="n">
        <x:f>MAX(0,-MIN(E39:I39))</x:f>
        <x:v>498500</x:v>
      </x:c>
      <x:c r="E10" s="10"/>
      <x:c r="F10" s="10"/>
      <x:c r="G10" s="10"/>
      <x:c r="H10" s="10"/>
      <x:c r="I10" s="10"/>
    </x:row>
    <x:row r="11" ht="23" customHeight="1">
      <x:c r="C11" s="2" t="str">
        <x:v>Receita histórica anual</x:v>
      </x:c>
      <x:c r="D11" s="32" t="n">
        <x:f>D25</x:f>
        <x:v>150000</x:v>
      </x:c>
      <x:c r="E11" s="10"/>
      <x:c r="F11" s="10"/>
      <x:c r="G11" s="10"/>
      <x:c r="H11" s="10"/>
      <x:c r="I11" s="10"/>
    </x:row>
    <x:row r="12" ht="23" customHeight="1">
      <x:c r="C12" s="2" t="str">
        <x:v>Resultado anual incluindo sócios</x:v>
      </x:c>
      <x:c r="D12" s="32" t="n">
        <x:f>D30</x:f>
        <x:v>-570000</x:v>
      </x:c>
      <x:c r="E12" s="10"/>
      <x:c r="F12" s="10"/>
      <x:c r="G12" s="10"/>
      <x:c r="H12" s="10"/>
      <x:c r="I12" s="10"/>
    </x:row>
    <x:row r="13" ht="23" customHeight="1">
      <x:c r="C13" s="2"/>
      <x:c r="D13" s="3"/>
      <x:c r="E13" s="10"/>
      <x:c r="F13" s="10"/>
      <x:c r="G13" s="10"/>
      <x:c r="H13" s="10"/>
      <x:c r="I13" s="10"/>
    </x:row>
    <x:row r="14" ht="25" customHeight="1">
      <x:c r="C14" s="14" t="str">
        <x:v>Diluição pela mídia — cenário selecionado</x:v>
      </x:c>
      <x:c r="D14" s="15"/>
      <x:c r="E14" s="46"/>
      <x:c r="F14" s="46"/>
      <x:c r="G14" s="46"/>
      <x:c r="H14" s="46"/>
      <x:c r="I14" s="46"/>
    </x:row>
    <x:row r="15" ht="23" customHeight="1">
      <x:c r="C15" s="2" t="str">
        <x:v>Pré-money proxy para esta simulação</x:v>
      </x:c>
      <x:c r="D15" s="32" t="n">
        <x:f>IF(D8&gt;0,IF(ISNUMBER(D9),D9,D8),"n.a.")</x:f>
        <x:v>713273.3384899152</x:v>
      </x:c>
      <x:c r="E15" s="10" t="str">
        <x:v>Se caixa desconhecido, usa EV e supõe caixa zero só para simular.</x:v>
      </x:c>
      <x:c r="F15" s="10"/>
      <x:c r="G15" s="10"/>
      <x:c r="H15" s="10"/>
      <x:c r="I15" s="10"/>
    </x:row>
    <x:row r="16" ht="23" customHeight="1">
      <x:c r="C16" s="2" t="str">
        <x:v>Participação pela mídia nominal</x:v>
      </x:c>
      <x:c r="D16" s="34" t="n">
        <x:f>IF(ISNUMBER(D15),'Premissas'!D19/(D15+'Premissas'!D19),"n.a.")</x:f>
        <x:v>0.6777292139720206</x:v>
      </x:c>
      <x:c r="E16" s="10"/>
      <x:c r="F16" s="10"/>
      <x:c r="G16" s="10"/>
      <x:c r="H16" s="10"/>
      <x:c r="I16" s="10"/>
    </x:row>
    <x:row r="17" ht="23" customHeight="1">
      <x:c r="C17" s="2" t="str">
        <x:v>Participação pelo valor reconhecido</x:v>
      </x:c>
      <x:c r="D17" s="34" t="n">
        <x:f>IF(ISNUMBER(D15),'Premissas'!D20/(D15+'Premissas'!D20),"n.a.")</x:f>
        <x:v>0.6777292139720206</x:v>
      </x:c>
      <x:c r="E17" s="10"/>
      <x:c r="F17" s="10"/>
      <x:c r="G17" s="10"/>
      <x:c r="H17" s="10"/>
      <x:c r="I17" s="10"/>
    </x:row>
    <x:row r="18" ht="23" customHeight="1">
      <x:c r="C18" s="2" t="str">
        <x:v>Mídia não paga os custos em caixa. Simulação de rodada simples, sem opções, conversíveis ou outros investidores.</x:v>
      </x:c>
      <x:c r="D18" s="3"/>
      <x:c r="E18" s="10"/>
      <x:c r="F18" s="10"/>
      <x:c r="G18" s="10"/>
      <x:c r="H18" s="10"/>
      <x:c r="I18" s="10"/>
    </x:row>
    <x:row r="19" ht="23" customHeight="1">
      <x:c r="C19" s="2"/>
      <x:c r="D19" s="3"/>
      <x:c r="E19" s="3"/>
      <x:c r="F19" s="3"/>
      <x:c r="G19" s="3"/>
      <x:c r="H19" s="3"/>
      <x:c r="I19" s="3"/>
    </x:row>
    <x:row r="20" ht="25" customHeight="1">
      <x:c r="C20" s="14" t="str">
        <x:v>Modelo de caixa — cinco períodos seguintes de 12 meses</x:v>
      </x:c>
      <x:c r="D20" s="15"/>
      <x:c r="E20" s="15"/>
      <x:c r="F20" s="15"/>
      <x:c r="G20" s="15"/>
      <x:c r="H20" s="15"/>
      <x:c r="I20" s="15"/>
    </x:row>
    <x:row r="21" ht="23" customHeight="1">
      <x:c r="C21" s="2"/>
      <x:c r="D21" s="24" t="str">
        <x:v>Histórico / ajuste</x:v>
      </x:c>
      <x:c r="E21" s="25" t="n">
        <x:f>'Premissas'!E36</x:f>
        <x:v>46640.5</x:v>
      </x:c>
      <x:c r="F21" s="25" t="n">
        <x:f>'Premissas'!F36</x:f>
        <x:v>47006.5</x:v>
      </x:c>
      <x:c r="G21" s="25" t="n">
        <x:f>'Premissas'!G36</x:f>
        <x:v>47371.5</x:v>
      </x:c>
      <x:c r="H21" s="25" t="n">
        <x:f>'Premissas'!H36</x:f>
        <x:v>47736.5</x:v>
      </x:c>
      <x:c r="I21" s="25" t="n">
        <x:f>'Premissas'!I36</x:f>
        <x:v>48101.5</x:v>
      </x:c>
    </x:row>
    <x:row r="22" ht="23" customHeight="1">
      <x:c r="C22" s="2" t="str">
        <x:v>Publicidade</x:v>
      </x:c>
      <x:c r="D22" s="43" t="n">
        <x:f>'Premissas'!D10</x:f>
        <x:v>70000</x:v>
      </x:c>
      <x:c r="E22" s="43" t="n">
        <x:f>'Premissas'!E37</x:f>
        <x:v>350000</x:v>
      </x:c>
      <x:c r="F22" s="43" t="n">
        <x:f>'Premissas'!F37</x:f>
        <x:v>750000</x:v>
      </x:c>
      <x:c r="G22" s="43" t="n">
        <x:f>'Premissas'!G37</x:f>
        <x:v>1200000</x:v>
      </x:c>
      <x:c r="H22" s="43" t="n">
        <x:f>'Premissas'!H37</x:f>
        <x:v>1750000</x:v>
      </x:c>
      <x:c r="I22" s="43" t="n">
        <x:f>'Premissas'!I37</x:f>
        <x:v>2300000</x:v>
      </x:c>
    </x:row>
    <x:row r="23" ht="23" customHeight="1">
      <x:c r="C23" s="2" t="str">
        <x:v>Assinaturas anuais</x:v>
      </x:c>
      <x:c r="D23" s="43" t="n">
        <x:f>'Premissas'!D11</x:f>
        <x:v>20000</x:v>
      </x:c>
      <x:c r="E23" s="43" t="n">
        <x:f>'Premissas'!E42</x:f>
        <x:v>50000</x:v>
      </x:c>
      <x:c r="F23" s="43" t="n">
        <x:f>'Premissas'!F42</x:f>
        <x:v>100000</x:v>
      </x:c>
      <x:c r="G23" s="43" t="n">
        <x:f>'Premissas'!G42</x:f>
        <x:v>180000</x:v>
      </x:c>
      <x:c r="H23" s="43" t="n">
        <x:f>'Premissas'!H42</x:f>
        <x:v>250000</x:v>
      </x:c>
      <x:c r="I23" s="43" t="n">
        <x:f>'Premissas'!I42</x:f>
        <x:v>350000</x:v>
      </x:c>
    </x:row>
    <x:row r="24" ht="23" customHeight="1">
      <x:c r="C24" s="2" t="str">
        <x:v>Serviços a organizadores</x:v>
      </x:c>
      <x:c r="D24" s="43" t="n">
        <x:f>'Premissas'!D12</x:f>
        <x:v>60000</x:v>
      </x:c>
      <x:c r="E24" s="43" t="n">
        <x:f>'Premissas'!E47</x:f>
        <x:v>100000</x:v>
      </x:c>
      <x:c r="F24" s="43" t="n">
        <x:f>'Premissas'!F47</x:f>
        <x:v>150000</x:v>
      </x:c>
      <x:c r="G24" s="43" t="n">
        <x:f>'Premissas'!G47</x:f>
        <x:v>220000</x:v>
      </x:c>
      <x:c r="H24" s="43" t="n">
        <x:f>'Premissas'!H47</x:f>
        <x:v>300000</x:v>
      </x:c>
      <x:c r="I24" s="43" t="n">
        <x:f>'Premissas'!I47</x:f>
        <x:v>350000</x:v>
      </x:c>
    </x:row>
    <x:row r="25" ht="23" customHeight="1">
      <x:c r="C25" s="40" t="str">
        <x:v>Receita total</x:v>
      </x:c>
      <x:c r="D25" s="42" t="n">
        <x:f>IF(COUNT(D22:D24)=3,SUM(D22:D24),"n.a.")</x:f>
        <x:v>150000</x:v>
      </x:c>
      <x:c r="E25" s="42" t="n">
        <x:f>IF(COUNT(E22:E24)=3,SUM(E22:E24),"n.a.")</x:f>
        <x:v>500000</x:v>
      </x:c>
      <x:c r="F25" s="42" t="n">
        <x:f>IF(COUNT(F22:F24)=3,SUM(F22:F24),"n.a.")</x:f>
        <x:v>1000000</x:v>
      </x:c>
      <x:c r="G25" s="42" t="n">
        <x:f>IF(COUNT(G22:G24)=3,SUM(G22:G24),"n.a.")</x:f>
        <x:v>1600000</x:v>
      </x:c>
      <x:c r="H25" s="42" t="n">
        <x:f>IF(COUNT(H22:H24)=3,SUM(H22:H24),"n.a.")</x:f>
        <x:v>2300000</x:v>
      </x:c>
      <x:c r="I25" s="42" t="n">
        <x:f>IF(COUNT(I22:I24)=3,SUM(I22:I24),"n.a.")</x:f>
        <x:v>3000000</x:v>
      </x:c>
    </x:row>
    <x:row r="26" ht="23" customHeight="1">
      <x:c r="C26" s="2" t="str">
        <x:v>Crescimento anual</x:v>
      </x:c>
      <x:c r="D26" s="34" t="str">
        <x:v>n.a.</x:v>
      </x:c>
      <x:c r="E26" s="34" t="n">
        <x:f>E25/D25-1</x:f>
        <x:v>2.3333333333333335</x:v>
      </x:c>
      <x:c r="F26" s="34" t="n">
        <x:f>F25/E25-1</x:f>
        <x:v>1</x:v>
      </x:c>
      <x:c r="G26" s="34" t="n">
        <x:f>G25/F25-1</x:f>
        <x:v>0.6000000000000001</x:v>
      </x:c>
      <x:c r="H26" s="34" t="n">
        <x:f>H25/G25-1</x:f>
        <x:v>0.4375</x:v>
      </x:c>
      <x:c r="I26" s="34" t="n">
        <x:f>I25/H25-1</x:f>
        <x:v>0.30434782608695654</x:v>
      </x:c>
    </x:row>
    <x:row r="27" ht="23" customHeight="1">
      <x:c r="C27" s="2" t="str">
        <x:v>Custos operacionais de base</x:v>
      </x:c>
      <x:c r="D27" s="43" t="n">
        <x:f>'Premissas'!D13*'Premissas'!D32</x:f>
        <x:v>120000</x:v>
      </x:c>
      <x:c r="E27" s="35" t="n">
        <x:f>D27</x:f>
        <x:v>120000</x:v>
      </x:c>
      <x:c r="F27" s="35" t="n">
        <x:f>E27*(1+'Premissas'!$D$26)</x:f>
        <x:v>126000</x:v>
      </x:c>
      <x:c r="G27" s="35" t="n">
        <x:f>F27*(1+'Premissas'!$D$26)</x:f>
        <x:v>132300</x:v>
      </x:c>
      <x:c r="H27" s="35" t="n">
        <x:f>G27*(1+'Premissas'!$D$26)</x:f>
        <x:v>138915</x:v>
      </x:c>
      <x:c r="I27" s="35" t="n">
        <x:f>H27*(1+'Premissas'!$D$26)</x:f>
        <x:v>145860.75</x:v>
      </x:c>
    </x:row>
    <x:row r="28" ht="23" customHeight="1">
      <x:c r="C28" s="2" t="str">
        <x:v>Trabalho dos sócios (estimado)</x:v>
      </x:c>
      <x:c r="D28" s="43" t="n">
        <x:f>'Premissas'!D14*'Premissas'!D32</x:f>
        <x:v>600000</x:v>
      </x:c>
      <x:c r="E28" s="35" t="n">
        <x:f>D28</x:f>
        <x:v>600000</x:v>
      </x:c>
      <x:c r="F28" s="35" t="n">
        <x:f>E28*(1+'Premissas'!$D$26)</x:f>
        <x:v>630000</x:v>
      </x:c>
      <x:c r="G28" s="35" t="n">
        <x:f>F28*(1+'Premissas'!$D$26)</x:f>
        <x:v>661500</x:v>
      </x:c>
      <x:c r="H28" s="35" t="n">
        <x:f>G28*(1+'Premissas'!$D$26)</x:f>
        <x:v>694575</x:v>
      </x:c>
      <x:c r="I28" s="35" t="n">
        <x:f>H28*(1+'Premissas'!$D$26)</x:f>
        <x:v>729303.75</x:v>
      </x:c>
    </x:row>
    <x:row r="29" ht="23" customHeight="1">
      <x:c r="C29" s="2" t="str">
        <x:v>Custos adicionais ao escalar</x:v>
      </x:c>
      <x:c r="D29" s="35" t="str">
        <x:v>n.a.</x:v>
      </x:c>
      <x:c r="E29" s="35" t="n">
        <x:f>MAX(0,E25-$D$25)*'Premissas'!$D$27</x:f>
        <x:v>140000</x:v>
      </x:c>
      <x:c r="F29" s="35" t="n">
        <x:f>MAX(0,F25-$D$25)*'Premissas'!$D$27</x:f>
        <x:v>340000</x:v>
      </x:c>
      <x:c r="G29" s="35" t="n">
        <x:f>MAX(0,G25-$D$25)*'Premissas'!$D$27</x:f>
        <x:v>580000</x:v>
      </x:c>
      <x:c r="H29" s="35" t="n">
        <x:f>MAX(0,H25-$D$25)*'Premissas'!$D$27</x:f>
        <x:v>860000</x:v>
      </x:c>
      <x:c r="I29" s="35" t="n">
        <x:f>MAX(0,I25-$D$25)*'Premissas'!$D$27</x:f>
        <x:v>1140000</x:v>
      </x:c>
    </x:row>
    <x:row r="30" ht="23" customHeight="1">
      <x:c r="C30" s="40" t="str">
        <x:v>EBITDA após remuneração estimada</x:v>
      </x:c>
      <x:c r="D30" s="42" t="n">
        <x:f>D25-SUM(D27:D28)</x:f>
        <x:v>-570000</x:v>
      </x:c>
      <x:c r="E30" s="42" t="n">
        <x:f>E25-SUM(E27:E29)</x:f>
        <x:v>-360000</x:v>
      </x:c>
      <x:c r="F30" s="42" t="n">
        <x:f>F25-SUM(F27:F29)</x:f>
        <x:v>-96000</x:v>
      </x:c>
      <x:c r="G30" s="42" t="n">
        <x:f>G25-SUM(G27:G29)</x:f>
        <x:v>226200</x:v>
      </x:c>
      <x:c r="H30" s="42" t="n">
        <x:f>H25-SUM(H27:H29)</x:f>
        <x:v>606510</x:v>
      </x:c>
      <x:c r="I30" s="42" t="n">
        <x:f>I25-SUM(I27:I29)</x:f>
        <x:v>984835.5</x:v>
      </x:c>
    </x:row>
    <x:row r="31" ht="23" customHeight="1">
      <x:c r="C31" s="2" t="str">
        <x:v>Depreciação e amortização</x:v>
      </x:c>
      <x:c r="D31" s="35" t="str">
        <x:v>n.a.</x:v>
      </x:c>
      <x:c r="E31" s="35" t="n">
        <x:f>E25*'Premissas'!$D$29</x:f>
        <x:v>0</x:v>
      </x:c>
      <x:c r="F31" s="35" t="n">
        <x:f>F25*'Premissas'!$D$29</x:f>
        <x:v>0</x:v>
      </x:c>
      <x:c r="G31" s="35" t="n">
        <x:f>G25*'Premissas'!$D$29</x:f>
        <x:v>0</x:v>
      </x:c>
      <x:c r="H31" s="35" t="n">
        <x:f>H25*'Premissas'!$D$29</x:f>
        <x:v>0</x:v>
      </x:c>
      <x:c r="I31" s="35" t="n">
        <x:f>I25*'Premissas'!$D$29</x:f>
        <x:v>0</x:v>
      </x:c>
    </x:row>
    <x:row r="32" ht="23" customHeight="1">
      <x:c r="C32" s="2" t="str">
        <x:v>Resultado operacional (EBIT)</x:v>
      </x:c>
      <x:c r="D32" s="35" t="str">
        <x:v>n.a.</x:v>
      </x:c>
      <x:c r="E32" s="35" t="n">
        <x:f>E30-E31</x:f>
        <x:v>-360000</x:v>
      </x:c>
      <x:c r="F32" s="35" t="n">
        <x:f>F30-F31</x:f>
        <x:v>-96000</x:v>
      </x:c>
      <x:c r="G32" s="35" t="n">
        <x:f>G30-G31</x:f>
        <x:v>226200</x:v>
      </x:c>
      <x:c r="H32" s="35" t="n">
        <x:f>H30-H31</x:f>
        <x:v>606510</x:v>
      </x:c>
      <x:c r="I32" s="35" t="n">
        <x:f>I30-I31</x:f>
        <x:v>984835.5</x:v>
      </x:c>
    </x:row>
    <x:row r="33" ht="23" customHeight="1">
      <x:c r="C33" s="2" t="str">
        <x:v>Provisão de tributos em caixa</x:v>
      </x:c>
      <x:c r="D33" s="35" t="str">
        <x:v>n.a.</x:v>
      </x:c>
      <x:c r="E33" s="35" t="n">
        <x:f>MAX(0,E32)*'Premissas'!$D$28</x:f>
        <x:v>0</x:v>
      </x:c>
      <x:c r="F33" s="35" t="n">
        <x:f>MAX(0,F32)*'Premissas'!$D$28</x:f>
        <x:v>0</x:v>
      </x:c>
      <x:c r="G33" s="35" t="n">
        <x:f>MAX(0,G32)*'Premissas'!$D$28</x:f>
        <x:v>45240</x:v>
      </x:c>
      <x:c r="H33" s="35" t="n">
        <x:f>MAX(0,H32)*'Premissas'!$D$28</x:f>
        <x:v>121302</x:v>
      </x:c>
      <x:c r="I33" s="35" t="n">
        <x:f>MAX(0,I32)*'Premissas'!$D$28</x:f>
        <x:v>196967.1</x:v>
      </x:c>
    </x:row>
    <x:row r="34" ht="23" customHeight="1">
      <x:c r="C34" s="2" t="str">
        <x:v>Resultado operacional após tributos</x:v>
      </x:c>
      <x:c r="D34" s="35" t="str">
        <x:v>n.a.</x:v>
      </x:c>
      <x:c r="E34" s="35" t="n">
        <x:f>E32-E33</x:f>
        <x:v>-360000</x:v>
      </x:c>
      <x:c r="F34" s="35" t="n">
        <x:f>F32-F33</x:f>
        <x:v>-96000</x:v>
      </x:c>
      <x:c r="G34" s="35" t="n">
        <x:f>G32-G33</x:f>
        <x:v>180960</x:v>
      </x:c>
      <x:c r="H34" s="35" t="n">
        <x:f>H32-H33</x:f>
        <x:v>485208</x:v>
      </x:c>
      <x:c r="I34" s="35" t="n">
        <x:f>I32-I33</x:f>
        <x:v>787868.4</x:v>
      </x:c>
    </x:row>
    <x:row r="35" ht="23" customHeight="1">
      <x:c r="C35" s="2" t="str">
        <x:v>Adição de depreciação</x:v>
      </x:c>
      <x:c r="D35" s="35" t="str">
        <x:v>n.a.</x:v>
      </x:c>
      <x:c r="E35" s="35" t="n">
        <x:f>E31</x:f>
        <x:v>0</x:v>
      </x:c>
      <x:c r="F35" s="35" t="n">
        <x:f>F31</x:f>
        <x:v>0</x:v>
      </x:c>
      <x:c r="G35" s="35" t="n">
        <x:f>G31</x:f>
        <x:v>0</x:v>
      </x:c>
      <x:c r="H35" s="35" t="n">
        <x:f>H31</x:f>
        <x:v>0</x:v>
      </x:c>
      <x:c r="I35" s="35" t="n">
        <x:f>I31</x:f>
        <x:v>0</x:v>
      </x:c>
    </x:row>
    <x:row r="36" ht="23" customHeight="1">
      <x:c r="C36" s="2" t="str">
        <x:v>Investimento adicional</x:v>
      </x:c>
      <x:c r="D36" s="35" t="str">
        <x:v>n.a.</x:v>
      </x:c>
      <x:c r="E36" s="35" t="n">
        <x:f>MAX(0,E25-D25)*'Premissas'!$D$30</x:f>
        <x:v>10500</x:v>
      </x:c>
      <x:c r="F36" s="35" t="n">
        <x:f>MAX(0,F25-E25)*'Premissas'!$D$30</x:f>
        <x:v>15000</x:v>
      </x:c>
      <x:c r="G36" s="35" t="n">
        <x:f>MAX(0,G25-F25)*'Premissas'!$D$30</x:f>
        <x:v>18000</x:v>
      </x:c>
      <x:c r="H36" s="35" t="n">
        <x:f>MAX(0,H25-G25)*'Premissas'!$D$30</x:f>
        <x:v>21000</x:v>
      </x:c>
      <x:c r="I36" s="35" t="n">
        <x:f>MAX(0,I25-H25)*'Premissas'!$D$30</x:f>
        <x:v>21000</x:v>
      </x:c>
    </x:row>
    <x:row r="37" ht="23" customHeight="1">
      <x:c r="C37" s="2" t="str">
        <x:v>Aumento do capital de giro</x:v>
      </x:c>
      <x:c r="D37" s="35" t="str">
        <x:v>n.a.</x:v>
      </x:c>
      <x:c r="E37" s="35" t="n">
        <x:f>MAX(0,E25-D25)*'Premissas'!$D$31</x:f>
        <x:v>7000</x:v>
      </x:c>
      <x:c r="F37" s="35" t="n">
        <x:f>MAX(0,F25-E25)*'Premissas'!$D$31</x:f>
        <x:v>10000</x:v>
      </x:c>
      <x:c r="G37" s="35" t="n">
        <x:f>MAX(0,G25-F25)*'Premissas'!$D$31</x:f>
        <x:v>12000</x:v>
      </x:c>
      <x:c r="H37" s="35" t="n">
        <x:f>MAX(0,H25-G25)*'Premissas'!$D$31</x:f>
        <x:v>14000</x:v>
      </x:c>
      <x:c r="I37" s="35" t="n">
        <x:f>MAX(0,I25-H25)*'Premissas'!$D$31</x:f>
        <x:v>14000</x:v>
      </x:c>
    </x:row>
    <x:row r="38" ht="23" customHeight="1">
      <x:c r="C38" s="40" t="str">
        <x:v>Fluxo de caixa livre</x:v>
      </x:c>
      <x:c r="D38" s="42" t="str">
        <x:v>n.a.</x:v>
      </x:c>
      <x:c r="E38" s="42" t="n">
        <x:f>SUM(E34:E35)-SUM(E36:E37)</x:f>
        <x:v>-377500</x:v>
      </x:c>
      <x:c r="F38" s="42" t="n">
        <x:f>SUM(F34:F35)-SUM(F36:F37)</x:f>
        <x:v>-121000</x:v>
      </x:c>
      <x:c r="G38" s="42" t="n">
        <x:f>SUM(G34:G35)-SUM(G36:G37)</x:f>
        <x:v>150960</x:v>
      </x:c>
      <x:c r="H38" s="42" t="n">
        <x:f>SUM(H34:H35)-SUM(H36:H37)</x:f>
        <x:v>450208</x:v>
      </x:c>
      <x:c r="I38" s="42" t="n">
        <x:f>SUM(I34:I35)-SUM(I36:I37)</x:f>
        <x:v>752868.4</x:v>
      </x:c>
    </x:row>
    <x:row r="39" ht="23" customHeight="1">
      <x:c r="C39" s="2" t="str">
        <x:v>Caixa acumulado antes de financiamento</x:v>
      </x:c>
      <x:c r="D39" s="35" t="str">
        <x:v>n.a.</x:v>
      </x:c>
      <x:c r="E39" s="35" t="n">
        <x:f>E38</x:f>
        <x:v>-377500</x:v>
      </x:c>
      <x:c r="F39" s="35" t="n">
        <x:f>E39+F38</x:f>
        <x:v>-498500</x:v>
      </x:c>
      <x:c r="G39" s="35" t="n">
        <x:f>F39+G38</x:f>
        <x:v>-347540</x:v>
      </x:c>
      <x:c r="H39" s="35" t="n">
        <x:f>G39+H38</x:f>
        <x:v>102668</x:v>
      </x:c>
      <x:c r="I39" s="35" t="n">
        <x:f>H39+I38</x:f>
        <x:v>855536.4</x:v>
      </x:c>
    </x:row>
    <x:row r="40" ht="23" customHeight="1">
      <x:c r="C40" s="2" t="str">
        <x:v>Período de desconto</x:v>
      </x:c>
      <x:c r="D40" s="35" t="str">
        <x:v>n.a.</x:v>
      </x:c>
      <x:c r="E40" s="36" t="n">
        <x:v>1</x:v>
      </x:c>
      <x:c r="F40" s="36" t="n">
        <x:v>2</x:v>
      </x:c>
      <x:c r="G40" s="36" t="n">
        <x:v>3</x:v>
      </x:c>
      <x:c r="H40" s="36" t="n">
        <x:v>4</x:v>
      </x:c>
      <x:c r="I40" s="36" t="n">
        <x:v>5</x:v>
      </x:c>
    </x:row>
    <x:row r="41" ht="23" customHeight="1">
      <x:c r="C41" s="2" t="str">
        <x:v>Fator de valor presente</x:v>
      </x:c>
      <x:c r="D41" s="35" t="str">
        <x:v>n.a.</x:v>
      </x:c>
      <x:c r="E41" s="37" t="n">
        <x:f>1/(1+'Premissas'!$D$24)^E40</x:f>
        <x:v>0.7142857142857143</x:v>
      </x:c>
      <x:c r="F41" s="37" t="n">
        <x:f>1/(1+'Premissas'!$D$24)^F40</x:f>
        <x:v>0.5102040816326532</x:v>
      </x:c>
      <x:c r="G41" s="37" t="n">
        <x:f>1/(1+'Premissas'!$D$24)^G40</x:f>
        <x:v>0.36443148688046656</x:v>
      </x:c>
      <x:c r="H41" s="37" t="n">
        <x:f>1/(1+'Premissas'!$D$24)^H40</x:f>
        <x:v>0.260308204914619</x:v>
      </x:c>
      <x:c r="I41" s="37" t="n">
        <x:f>1/(1+'Premissas'!$D$24)^I40</x:f>
        <x:v>0.18593443208187072</x:v>
      </x:c>
    </x:row>
    <x:row r="42" ht="23" customHeight="1">
      <x:c r="C42" s="40" t="str">
        <x:v>Fluxo de caixa a valor presente</x:v>
      </x:c>
      <x:c r="D42" s="42" t="str">
        <x:v>n.a.</x:v>
      </x:c>
      <x:c r="E42" s="42" t="n">
        <x:f>E38*E41</x:f>
        <x:v>-269642.85714285716</x:v>
      </x:c>
      <x:c r="F42" s="42" t="n">
        <x:f>F38*F41</x:f>
        <x:v>-61734.693877551035</x:v>
      </x:c>
      <x:c r="G42" s="42" t="n">
        <x:f>G38*G41</x:f>
        <x:v>55014.577259475234</x:v>
      </x:c>
      <x:c r="H42" s="42" t="n">
        <x:f>H38*H41</x:f>
        <x:v>117192.83631820077</x:v>
      </x:c>
      <x:c r="I42" s="42" t="n">
        <x:f>I38*I41</x:f>
        <x:v>139984.15838638667</x:v>
      </x:c>
    </x:row>
    <x:row r="43" ht="23" customHeight="1">
      <x:c r="C43" s="2" t="str">
        <x:v>Valor terminal (EBITDA × múltiplo)</x:v>
      </x:c>
      <x:c r="D43" s="35" t="str">
        <x:v>n.a.</x:v>
      </x:c>
      <x:c r="E43" s="35"/>
      <x:c r="F43" s="35"/>
      <x:c r="G43" s="35"/>
      <x:c r="H43" s="35"/>
      <x:c r="I43" s="35" t="n">
        <x:f>MAX(0,I30)*'Premissas'!D25</x:f>
        <x:v>3939342</x:v>
      </x:c>
    </x:row>
    <x:row r="44" ht="23" customHeight="1">
      <x:c r="C44" s="40" t="str">
        <x:v>Valor terminal a valor presente</x:v>
      </x:c>
      <x:c r="D44" s="42" t="str">
        <x:v>n.a.</x:v>
      </x:c>
      <x:c r="E44" s="42"/>
      <x:c r="F44" s="42"/>
      <x:c r="G44" s="42"/>
      <x:c r="H44" s="42"/>
      <x:c r="I44" s="42" t="n">
        <x:f>I43*I41</x:f>
        <x:v>732459.3175462608</x:v>
      </x:c>
    </x:row>
    <x:row r="45" ht="23" customHeight="1">
      <x:c r="C45" s="2"/>
      <x:c r="D45" s="3"/>
      <x:c r="E45" s="3"/>
      <x:c r="F45" s="3"/>
      <x:c r="G45" s="3"/>
      <x:c r="H45" s="3"/>
      <x:c r="I45" s="3"/>
    </x:row>
    <x:row r="46" ht="23" customHeight="1">
      <x:c r="C46" s="2" t="str">
        <x:v>O déficit calculado usa fechamentos anuais e parte de caixa zero. Picos de caixa dentro do ano podem ser maiores.</x:v>
      </x:c>
      <x:c r="D46" s="3"/>
      <x:c r="E46" s="3"/>
      <x:c r="F46" s="3"/>
      <x:c r="G46" s="3"/>
      <x:c r="H46" s="3"/>
      <x:c r="I46" s="3"/>
    </x:row>
    <x:row r="47" ht="23" customHeight="1">
      <x:c r="C47" s="2" t="str">
        <x:v>Resultado histórico ajustado não é prejuízo contábil realizado: os sócios ainda não recebem a remuneração estimada.</x:v>
      </x:c>
      <x:c r="D47" s="3"/>
      <x:c r="E47" s="3"/>
      <x:c r="F47" s="3"/>
      <x:c r="G47" s="3"/>
      <x:c r="H47" s="3"/>
      <x:c r="I47" s="3"/>
    </x:row>
    <x:row r="48" ht="23" customHeight="1">
      <x:c r="C48" s="2" t="str">
        <x:v>EV negativo indica insuficiência deste plano de caixa. Não avalia separadamente venda de ativos, marca ou opções.</x:v>
      </x:c>
      <x:c r="D48" s="3"/>
      <x:c r="E48" s="3"/>
      <x:c r="F48" s="3"/>
      <x:c r="G48" s="3"/>
      <x:c r="H48" s="3"/>
      <x:c r="I48" s="3"/>
    </x:row>
    <x:row r="49" ht="23" customHeight="1">
      <x:c r="C49" s="2" t="str">
        <x:v>Não foram adicionados valores arbitrários por usuário, código, marca ou mídia ao valor dos fluxos.</x:v>
      </x:c>
      <x:c r="D49" s="3"/>
      <x:c r="E49" s="3"/>
      <x:c r="F49" s="3"/>
      <x:c r="G49" s="3"/>
      <x:c r="H49" s="3"/>
      <x:c r="I49" s="3"/>
    </x:row>
    <x:row r="50" ht="23" customHeight="1">
      <x:c r="C50" s="2"/>
      <x:c r="D50" s="3"/>
      <x:c r="E50" s="3"/>
      <x:c r="F50" s="3"/>
      <x:c r="G50" s="3"/>
      <x:c r="H50" s="3"/>
      <x:c r="I50" s="3"/>
    </x:row>
    <x:row r="51" ht="25" customHeight="1">
      <x:c r="C51" s="14" t="str">
        <x:v>Sensibilidade do cenário selecionado — EV em reais</x:v>
      </x:c>
      <x:c r="D51" s="15"/>
      <x:c r="E51" s="15"/>
      <x:c r="F51" s="15"/>
      <x:c r="G51" s="15"/>
      <x:c r="H51" s="15"/>
      <x:c r="I51" s="15"/>
    </x:row>
    <x:row r="52" ht="23" customHeight="1">
      <x:c r="C52" s="2" t="str">
        <x:v>Desconto anual / múltiplo terminal</x:v>
      </x:c>
      <x:c r="D52" s="44" t="n">
        <x:f>'Premissas'!D25-1</x:f>
        <x:v>3</x:v>
      </x:c>
      <x:c r="E52" s="44" t="n">
        <x:f>'Premissas'!D25</x:f>
        <x:v>4</x:v>
      </x:c>
      <x:c r="F52" s="44" t="n">
        <x:f>'Premissas'!D25+1</x:f>
        <x:v>5</x:v>
      </x:c>
      <x:c r="G52" s="3"/>
      <x:c r="H52" s="3"/>
      <x:c r="I52" s="3"/>
    </x:row>
    <x:row r="53" ht="23" customHeight="1">
      <x:c r="C53" s="45" t="n">
        <x:f>'Premissas'!D24-0.1</x:f>
        <x:v>0.30000000000000004</x:v>
      </x:c>
      <x:c r="D53" s="32" t="n">
        <x:f>NPV($C53,$E$38:$I$38)+MAX(0,$I$30)*D$52/(1+$C53)^$I$40</x:f>
        <x:v>862863.8164468491</x:v>
      </x:c>
      <x:c r="E53" s="32" t="n">
        <x:f>NPV($C53,$E$38:$I$38)+MAX(0,$I$30)*E$52/(1+$C53)^$I$40</x:f>
        <x:v>1128108.6500418806</x:v>
      </x:c>
      <x:c r="F53" s="32" t="n">
        <x:f>NPV($C53,$E$38:$I$38)+MAX(0,$I$30)*F$52/(1+$C53)^$I$40</x:f>
        <x:v>1393353.4836369117</x:v>
      </x:c>
      <x:c r="G53" s="3"/>
      <x:c r="H53" s="3"/>
      <x:c r="I53" s="3"/>
    </x:row>
    <x:row r="54" ht="23" customHeight="1">
      <x:c r="C54" s="45" t="n">
        <x:f>'Premissas'!D24</x:f>
        <x:v>0.4</x:v>
      </x:c>
      <x:c r="D54" s="32" t="n">
        <x:f>NPV($C54,$E$38:$I$38)+MAX(0,$I$30)*D$52/(1+$C54)^$I$40</x:f>
        <x:v>530158.5091033501</x:v>
      </x:c>
      <x:c r="E54" s="32" t="n">
        <x:f>NPV($C54,$E$38:$I$38)+MAX(0,$I$30)*E$52/(1+$C54)^$I$40</x:f>
        <x:v>713273.3384899152</x:v>
      </x:c>
      <x:c r="F54" s="32" t="n">
        <x:f>NPV($C54,$E$38:$I$38)+MAX(0,$I$30)*F$52/(1+$C54)^$I$40</x:f>
        <x:v>896388.1678764804</x:v>
      </x:c>
      <x:c r="G54" s="3"/>
      <x:c r="H54" s="3"/>
      <x:c r="I54" s="3"/>
    </x:row>
    <x:row r="55" ht="23" customHeight="1">
      <x:c r="C55" s="45" t="n">
        <x:f>'Premissas'!D24+0.1</x:f>
        <x:v>0.5</x:v>
      </x:c>
      <x:c r="D55" s="32" t="n">
        <x:f>NPV($C55,$E$38:$I$38)+MAX(0,$I$30)*D$52/(1+$C55)^$I$40</x:f>
        <x:v>316428.3983539095</x:v>
      </x:c>
      <x:c r="E55" s="32" t="n">
        <x:f>NPV($C55,$E$38:$I$38)+MAX(0,$I$30)*E$52/(1+$C55)^$I$40</x:f>
        <x:v>446118.6699588477</x:v>
      </x:c>
      <x:c r="F55" s="32" t="n">
        <x:f>NPV($C55,$E$38:$I$38)+MAX(0,$I$30)*F$52/(1+$C55)^$I$40</x:f>
        <x:v>575808.941563786</x:v>
      </x:c>
      <x:c r="G55" s="3"/>
      <x:c r="H55" s="3"/>
      <x:c r="I55" s="3"/>
    </x:row>
    <x:row r="56" ht="23" customHeight="1">
      <x:c r="C56" s="2"/>
      <x:c r="D56" s="3"/>
      <x:c r="E56" s="3"/>
      <x:c r="F56" s="3"/>
      <x:c r="G56" s="3"/>
      <x:c r="H56" s="3"/>
      <x:c r="I56" s="3"/>
    </x:row>
    <x:row r="57" ht="23" customHeight="1">
      <x:c r="C57" s="2" t="str">
        <x:v>Sensibilidade altera desconto e múltiplo mantendo o mesmo plano de receitas e custos. Não é intervalo de confiança.</x:v>
      </x:c>
      <x:c r="D57" s="3"/>
      <x:c r="E57" s="3"/>
      <x:c r="F57" s="3"/>
      <x:c r="G57" s="3"/>
      <x:c r="H57" s="3"/>
      <x:c r="I57" s="3"/>
    </x:row>
    <x:row r="58" ht="23" customHeight="1">
      <x:c r="C58" s="2" t="str">
        <x:v>Para simular outra trajetória, altere apenas Premissas!D6. As fórmulas de todos os resultados são recalculadas.</x:v>
      </x:c>
      <x:c r="D58" s="3"/>
      <x:c r="E58" s="3"/>
      <x:c r="F58" s="3"/>
      <x:c r="G58" s="3"/>
      <x:c r="H58" s="3"/>
      <x:c r="I58" s="3"/>
    </x:row>
    <x:row r="59" ht="23" customHeight="1">
      <x:c r="C59" s="2" t="str">
        <x:v>Manutenção, contratação, tributos sobre faturamento e margem por frente precisam ser validados antes de negociar.</x:v>
      </x:c>
      <x:c r="D59" s="3"/>
      <x:c r="E59" s="3"/>
      <x:c r="F59" s="3"/>
      <x:c r="G59" s="3"/>
      <x:c r="H59" s="3"/>
      <x:c r="I59" s="3"/>
    </x:row>
    <x:row r="60" ht="23" customHeight="1">
      <x:c r="C60" s="2"/>
      <x:c r="D60" s="3"/>
      <x:c r="E60" s="3"/>
      <x:c r="F60" s="3"/>
      <x:c r="G60" s="3"/>
      <x:c r="H60" s="3"/>
      <x:c r="I60" s="3"/>
    </x:row>
    <x:row r="61" ht="23" customHeight="1">
      <x:c r="C61" s="2"/>
      <x:c r="D61" s="3"/>
      <x:c r="E61" s="3"/>
      <x:c r="F61" s="3"/>
      <x:c r="G61" s="3"/>
      <x:c r="H61" s="3"/>
      <x:c r="I61" s="3"/>
    </x:row>
    <x:row r="62" ht="23" customHeight="1">
      <x:c r="C62" s="2"/>
      <x:c r="D62" s="3"/>
      <x:c r="E62" s="3"/>
      <x:c r="F62" s="3"/>
      <x:c r="G62" s="3"/>
      <x:c r="H62" s="3"/>
      <x:c r="I62" s="3"/>
    </x:row>
    <x:row r="63" ht="23" customHeight="1">
      <x:c r="C63" s="2"/>
      <x:c r="D63" s="3"/>
      <x:c r="E63" s="3"/>
      <x:c r="F63" s="3"/>
      <x:c r="G63" s="3"/>
      <x:c r="H63" s="3"/>
      <x:c r="I63" s="3"/>
    </x:row>
    <x:row r="64" ht="23" customHeight="1">
      <x:c r="C64" s="2"/>
      <x:c r="D64" s="3"/>
      <x:c r="E64" s="3"/>
      <x:c r="F64" s="3"/>
      <x:c r="G64" s="3"/>
      <x:c r="H64" s="3"/>
      <x:c r="I64" s="3"/>
    </x:row>
    <x:row r="65" ht="23" customHeight="1">
      <x:c r="C65" s="2"/>
      <x:c r="D65" s="3"/>
      <x:c r="E65" s="3"/>
      <x:c r="F65" s="3"/>
      <x:c r="G65" s="3"/>
      <x:c r="H65" s="3"/>
      <x:c r="I65" s="3"/>
    </x:row>
    <x:row r="66" ht="23" customHeight="1">
      <x:c r="C66" s="2"/>
      <x:c r="D66" s="3"/>
      <x:c r="E66" s="3"/>
      <x:c r="F66" s="3"/>
      <x:c r="G66" s="3"/>
      <x:c r="H66" s="3"/>
      <x:c r="I66" s="3"/>
    </x:row>
    <x:row r="67" ht="23" customHeight="1">
      <x:c r="C67" s="2"/>
      <x:c r="D67" s="3"/>
      <x:c r="E67" s="3"/>
      <x:c r="F67" s="3"/>
      <x:c r="G67" s="3"/>
      <x:c r="H67" s="3"/>
      <x:c r="I67" s="3"/>
    </x:row>
    <x:row r="68" ht="23" customHeight="1">
      <x:c r="C68" s="2"/>
      <x:c r="D68" s="3"/>
      <x:c r="E68" s="3"/>
      <x:c r="F68" s="3"/>
      <x:c r="G68" s="3"/>
      <x:c r="H68" s="3"/>
      <x:c r="I68" s="3"/>
    </x:row>
    <x:row r="69" ht="23" customHeight="1">
      <x:c r="C69" s="2"/>
      <x:c r="D69" s="3"/>
      <x:c r="E69" s="3"/>
      <x:c r="F69" s="3"/>
      <x:c r="G69" s="3"/>
      <x:c r="H69" s="3"/>
      <x:c r="I69" s="3"/>
    </x:row>
    <x:row r="70" ht="23" customHeight="1">
      <x:c r="C70" s="2"/>
      <x:c r="D70" s="3"/>
      <x:c r="E70" s="3"/>
      <x:c r="F70" s="3"/>
      <x:c r="G70" s="3"/>
      <x:c r="H70" s="3"/>
      <x:c r="I70" s="3"/>
    </x:row>
  </x:sheetData>
  <x:conditionalFormatting sqref="D8:D12">
    <x:cfRule type="cellIs" dxfId="0" priority="1" operator="lessThan">
      <x:formula>0</x:formula>
    </x:cfRule>
  </x:conditionalFormatting>
  <x:conditionalFormatting sqref="D15:D17">
    <x:cfRule type="cellIs" dxfId="1" priority="2" operator="lessThan">
      <x:formula>0</x:formula>
    </x:cfRule>
  </x:conditionalFormatting>
  <x:conditionalFormatting sqref="D30:I30">
    <x:cfRule type="cellIs" dxfId="2" priority="3" operator="lessThan">
      <x:formula>0</x:formula>
    </x:cfRule>
  </x:conditionalFormatting>
  <x:conditionalFormatting sqref="E38:I39">
    <x:cfRule type="cellIs" dxfId="3" priority="4" operator="lessThan">
      <x:formula>0</x:formula>
    </x:cfRule>
  </x:conditionalFormatting>
  <x:conditionalFormatting sqref="D53:F55">
    <x:cfRule type="cellIs" dxfId="4" priority="5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B8397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7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C1" s="2"/>
      <x:c r="D1" s="3"/>
      <x:c r="E1" s="3"/>
      <x:c r="F1" s="3"/>
      <x:c r="G1" s="3"/>
      <x:c r="H1" s="3"/>
      <x:c r="I1" s="3"/>
    </x:row>
    <x:row r="2" ht="30" customHeight="1">
      <x:c r="C2" s="4" t="str">
        <x:v>RunnerHub · premissas do valuation</x:v>
      </x:c>
      <x:c r="D2" s="3"/>
      <x:c r="E2" s="3"/>
      <x:c r="F2" s="3"/>
      <x:c r="G2" s="3"/>
      <x:c r="H2" s="3"/>
      <x:c r="I2" s="3"/>
    </x:row>
    <x:row r="3" ht="23" customHeight="1">
      <x:c r="C3" s="5"/>
      <x:c r="D3" s="6"/>
      <x:c r="E3" s="6"/>
      <x:c r="F3" s="6"/>
      <x:c r="G3" s="6"/>
      <x:c r="H3" s="6"/>
      <x:c r="I3" s="6"/>
    </x:row>
    <x:row r="4" ht="23" customHeight="1">
      <x:c r="C4" s="2" t="str">
        <x:v>Informações do sócio nesta conversa, setembro/2026. Valores em reais. Azul/âmbar = editável.</x:v>
      </x:c>
      <x:c r="D4" s="3"/>
      <x:c r="E4" s="3"/>
      <x:c r="F4" s="3"/>
      <x:c r="G4" s="3"/>
      <x:c r="H4" s="3"/>
      <x:c r="I4" s="3"/>
    </x:row>
    <x:row r="5" ht="23" customHeight="1">
      <x:c r="C5" s="2"/>
      <x:c r="D5" s="3"/>
      <x:c r="E5" s="3"/>
      <x:c r="F5" s="3"/>
      <x:c r="G5" s="3"/>
      <x:c r="H5" s="3"/>
      <x:c r="I5" s="3"/>
    </x:row>
    <x:row r="6" ht="23" customHeight="1">
      <x:c r="C6" s="2" t="str">
        <x:v>Cenário selecionado (1, 2 ou 3)</x:v>
      </x:c>
      <x:c r="D6" s="9" t="n">
        <x:v>2</x:v>
      </x:c>
      <x:c r="E6" s="11" t="str">
        <x:f>CHOOSE(D6,"Expansão menor","Expansão forte","Expansão muito forte")</x:f>
        <x:v>Expansão forte</x:v>
      </x:c>
      <x:c r="F6" s="3"/>
      <x:c r="G6" s="3"/>
      <x:c r="H6" s="3"/>
      <x:c r="I6" s="3"/>
    </x:row>
    <x:row r="7" ht="23" customHeight="1">
      <x:c r="C7" s="2" t="str">
        <x:v>As três trajetórias são hipóteses do modelo. Nenhuma representa receita contratada ou previsão confirmada.</x:v>
      </x:c>
      <x:c r="D7" s="3"/>
      <x:c r="E7" s="3"/>
      <x:c r="F7" s="3"/>
      <x:c r="G7" s="3"/>
      <x:c r="H7" s="3"/>
      <x:c r="I7" s="3"/>
    </x:row>
    <x:row r="8" ht="23" customHeight="1">
      <x:c r="C8" s="2"/>
      <x:c r="D8" s="3"/>
      <x:c r="E8" s="3"/>
      <x:c r="F8" s="3"/>
      <x:c r="G8" s="3"/>
      <x:c r="H8" s="3"/>
      <x:c r="I8" s="3"/>
    </x:row>
    <x:row r="9" ht="25" customHeight="1">
      <x:c r="C9" s="14" t="str">
        <x:v>Dados informados</x:v>
      </x:c>
      <x:c r="D9" s="15"/>
      <x:c r="E9" s="15"/>
      <x:c r="F9" s="15"/>
      <x:c r="G9" s="15"/>
      <x:c r="H9" s="15"/>
      <x:c r="I9" s="15"/>
    </x:row>
    <x:row r="10" ht="23" customHeight="1">
      <x:c r="C10" s="2" t="str">
        <x:v>Publicidade — últimos 12 meses</x:v>
      </x:c>
      <x:c r="D10" s="16" t="n">
        <x:v>70000</x:v>
      </x:c>
      <x:c r="E10" s="10"/>
      <x:c r="F10" s="10"/>
      <x:c r="G10" s="10"/>
      <x:c r="H10" s="10"/>
      <x:c r="I10" s="10"/>
    </x:row>
    <x:row r="11" ht="23" customHeight="1">
      <x:c r="C11" s="2" t="str">
        <x:v>Assinaturas anuais — últimos 12 meses</x:v>
      </x:c>
      <x:c r="D11" s="16" t="n">
        <x:v>20000</x:v>
      </x:c>
      <x:c r="E11" s="10"/>
      <x:c r="F11" s="10"/>
      <x:c r="G11" s="10"/>
      <x:c r="H11" s="10"/>
      <x:c r="I11" s="10"/>
    </x:row>
    <x:row r="12" ht="23" customHeight="1">
      <x:c r="C12" s="2" t="str">
        <x:v>Serviços — últimos 12 meses</x:v>
      </x:c>
      <x:c r="D12" s="16" t="n">
        <x:v>60000</x:v>
      </x:c>
      <x:c r="E12" s="10"/>
      <x:c r="F12" s="10"/>
      <x:c r="G12" s="10"/>
      <x:c r="H12" s="10"/>
      <x:c r="I12" s="10"/>
    </x:row>
    <x:row r="13" ht="23" customHeight="1">
      <x:c r="C13" s="2" t="str">
        <x:v>Custo operacional mensal</x:v>
      </x:c>
      <x:c r="D13" s="16" t="n">
        <x:v>10000</x:v>
      </x:c>
      <x:c r="E13" s="10"/>
      <x:c r="F13" s="10"/>
      <x:c r="G13" s="10"/>
      <x:c r="H13" s="10"/>
      <x:c r="I13" s="10"/>
    </x:row>
    <x:row r="14" ht="23" customHeight="1">
      <x:c r="C14" s="2" t="str">
        <x:v>Trabalho dos sócios — estimativa mensal</x:v>
      </x:c>
      <x:c r="D14" s="16" t="n">
        <x:v>50000</x:v>
      </x:c>
      <x:c r="E14" s="10" t="str">
        <x:v>Estimativa; hoje os sócios não recebem.</x:v>
      </x:c>
      <x:c r="F14" s="10"/>
      <x:c r="G14" s="10"/>
      <x:c r="H14" s="10"/>
      <x:c r="I14" s="10"/>
    </x:row>
    <x:row r="15" ht="23" customHeight="1">
      <x:c r="C15" s="2" t="str">
        <x:v>Dívidas</x:v>
      </x:c>
      <x:c r="D15" s="16" t="n">
        <x:v>0</x:v>
      </x:c>
      <x:c r="E15" s="10"/>
      <x:c r="F15" s="10"/>
      <x:c r="G15" s="10"/>
      <x:c r="H15" s="10"/>
      <x:c r="I15" s="10"/>
    </x:row>
    <x:row r="16" ht="23" customHeight="1">
      <x:c r="C16" s="2" t="str">
        <x:v>Caixa disponível</x:v>
      </x:c>
      <x:c r="D16" s="16"/>
      <x:c r="E16" s="10" t="str">
        <x:v>Não informado; necessário para converter EV em valor societário.</x:v>
      </x:c>
      <x:c r="F16" s="10"/>
      <x:c r="G16" s="10"/>
      <x:c r="H16" s="10"/>
      <x:c r="I16" s="10"/>
    </x:row>
    <x:row r="17" ht="23" customHeight="1">
      <x:c r="C17" s="2" t="str">
        <x:v>Usuários cadastrados</x:v>
      </x:c>
      <x:c r="D17" s="17" t="n">
        <x:v>60000</x:v>
      </x:c>
      <x:c r="E17" s="10"/>
      <x:c r="F17" s="10"/>
      <x:c r="G17" s="10"/>
      <x:c r="H17" s="10"/>
      <x:c r="I17" s="10"/>
    </x:row>
    <x:row r="18" ht="23" customHeight="1">
      <x:c r="C18" s="2" t="str">
        <x:v>Parcela informada como ativa</x:v>
      </x:c>
      <x:c r="D18" s="18" t="n">
        <x:v>0.2</x:v>
      </x:c>
      <x:c r="E18" s="10" t="str">
        <x:v>Janela e usuários únicos entre produtos ainda não confirmados.</x:v>
      </x:c>
      <x:c r="F18" s="10"/>
      <x:c r="G18" s="10"/>
      <x:c r="H18" s="10"/>
      <x:c r="I18" s="10"/>
    </x:row>
    <x:row r="19" ht="23" customHeight="1">
      <x:c r="C19" s="2" t="str">
        <x:v>Crédito nominal de mídia Nexpon</x:v>
      </x:c>
      <x:c r="D19" s="16" t="n">
        <x:v>1500000</x:v>
      </x:c>
      <x:c r="E19" s="10"/>
      <x:c r="F19" s="10"/>
      <x:c r="G19" s="10"/>
      <x:c r="H19" s="10"/>
      <x:c r="I19" s="10"/>
    </x:row>
    <x:row r="20" ht="23" customHeight="1">
      <x:c r="C20" s="2" t="str">
        <x:v>Valor de mídia usado na negociação</x:v>
      </x:c>
      <x:c r="D20" s="16" t="n">
        <x:v>1500000</x:v>
      </x:c>
      <x:c r="E20" s="10" t="str">
        <x:v>Hipótese nominal. Substituir pelo preço econômico negociado.</x:v>
      </x:c>
      <x:c r="F20" s="10"/>
      <x:c r="G20" s="10"/>
      <x:c r="H20" s="10"/>
      <x:c r="I20" s="10"/>
    </x:row>
    <x:row r="21" ht="23" customHeight="1">
      <x:c r="C21" s="2" t="str">
        <x:v>Transmissões mencionadas</x:v>
      </x:c>
      <x:c r="D21" s="16" t="n">
        <x:v>30000</x:v>
      </x:c>
      <x:c r="E21" s="10" t="str">
        <x:v>Unidade/frequência não confirmadas. Não adicionado à receita histórica.</x:v>
      </x:c>
      <x:c r="F21" s="10"/>
      <x:c r="G21" s="10"/>
      <x:c r="H21" s="10"/>
      <x:c r="I21" s="10"/>
    </x:row>
    <x:row r="22" ht="23" customHeight="1">
      <x:c r="C22" s="2"/>
      <x:c r="D22" s="3"/>
      <x:c r="E22" s="3"/>
      <x:c r="F22" s="3"/>
      <x:c r="G22" s="3"/>
      <x:c r="H22" s="3"/>
      <x:c r="I22" s="3"/>
    </x:row>
    <x:row r="23" ht="25" customHeight="1">
      <x:c r="C23" s="14" t="str">
        <x:v>Hipóteses financeiras editáveis</x:v>
      </x:c>
      <x:c r="D23" s="15"/>
      <x:c r="E23" s="15"/>
      <x:c r="F23" s="15"/>
      <x:c r="G23" s="15"/>
      <x:c r="H23" s="15"/>
      <x:c r="I23" s="15"/>
    </x:row>
    <x:row r="24" ht="23" customHeight="1">
      <x:c r="C24" s="2" t="str">
        <x:v>Desconto anual dos fluxos</x:v>
      </x:c>
      <x:c r="D24" s="18" t="n">
        <x:v>0.4</x:v>
      </x:c>
      <x:c r="E24" s="10" t="str">
        <x:v>Taxa ilustrativa de risco; não WACC estimado.</x:v>
      </x:c>
      <x:c r="F24" s="10"/>
      <x:c r="G24" s="10"/>
      <x:c r="H24" s="10"/>
      <x:c r="I24" s="10"/>
    </x:row>
    <x:row r="25" ht="23" customHeight="1">
      <x:c r="C25" s="2" t="str">
        <x:v>Múltiplo terminal do EBITDA</x:v>
      </x:c>
      <x:c r="D25" s="19" t="n">
        <x:v>4</x:v>
      </x:c>
      <x:c r="E25" s="10" t="str">
        <x:v>Hipótese de saída; não múltiplo validado para esta empresa.</x:v>
      </x:c>
      <x:c r="F25" s="10"/>
      <x:c r="G25" s="10"/>
      <x:c r="H25" s="10"/>
      <x:c r="I25" s="10"/>
    </x:row>
    <x:row r="26" ht="23" customHeight="1">
      <x:c r="C26" s="2" t="str">
        <x:v>Aumento anual dos custos de base</x:v>
      </x:c>
      <x:c r="D26" s="18" t="n">
        <x:v>0.05</x:v>
      </x:c>
      <x:c r="E26" s="10"/>
      <x:c r="F26" s="10"/>
      <x:c r="G26" s="10"/>
      <x:c r="H26" s="10"/>
      <x:c r="I26" s="10"/>
    </x:row>
    <x:row r="27" ht="23" customHeight="1">
      <x:c r="C27" s="2" t="str">
        <x:v>Custos extras / receita acima da atual</x:v>
      </x:c>
      <x:c r="D27" s="18" t="n">
        <x:v>0.4</x:v>
      </x:c>
      <x:c r="E27" s="10" t="str">
        <x:v>Inclui esforço comercial e entrega incremental. Validar margens reais.</x:v>
      </x:c>
      <x:c r="F27" s="10"/>
      <x:c r="G27" s="10"/>
      <x:c r="H27" s="10"/>
      <x:c r="I27" s="10"/>
    </x:row>
    <x:row r="28" ht="23" customHeight="1">
      <x:c r="C28" s="2" t="str">
        <x:v>Provisão de tributos / EBIT positivo</x:v>
      </x:c>
      <x:c r="D28" s="18" t="n">
        <x:v>0.2</x:v>
      </x:c>
      <x:c r="E28" s="10" t="str">
        <x:v>Provisão simplificada; não representa enquadramento tributário.</x:v>
      </x:c>
      <x:c r="F28" s="10"/>
      <x:c r="G28" s="10"/>
      <x:c r="H28" s="10"/>
      <x:c r="I28" s="10"/>
    </x:row>
    <x:row r="29" ht="23" customHeight="1">
      <x:c r="C29" s="2" t="str">
        <x:v>Depreciação / receita</x:v>
      </x:c>
      <x:c r="D29" s="18" t="n">
        <x:v>0</x:v>
      </x:c>
      <x:c r="E29" s="10" t="str">
        <x:v>Simplificação, não ausência comprovada de ativos depreciáveis.</x:v>
      </x:c>
      <x:c r="F29" s="10"/>
      <x:c r="G29" s="10"/>
      <x:c r="H29" s="10"/>
      <x:c r="I29" s="10"/>
    </x:row>
    <x:row r="30" ht="23" customHeight="1">
      <x:c r="C30" s="2" t="str">
        <x:v>Investimento / aumento anual da receita</x:v>
      </x:c>
      <x:c r="D30" s="18" t="n">
        <x:v>0.03</x:v>
      </x:c>
      <x:c r="E30" s="10" t="str">
        <x:v>Investimento líquido adicional em tecnologia/capacidade.</x:v>
      </x:c>
      <x:c r="F30" s="10"/>
      <x:c r="G30" s="10"/>
      <x:c r="H30" s="10"/>
      <x:c r="I30" s="10"/>
    </x:row>
    <x:row r="31" ht="23" customHeight="1">
      <x:c r="C31" s="2" t="str">
        <x:v>Capital de giro / aumento da receita</x:v>
      </x:c>
      <x:c r="D31" s="18" t="n">
        <x:v>0.02</x:v>
      </x:c>
      <x:c r="E31" s="10"/>
      <x:c r="F31" s="10"/>
      <x:c r="G31" s="10"/>
      <x:c r="H31" s="10"/>
      <x:c r="I31" s="10"/>
    </x:row>
    <x:row r="32" ht="23" customHeight="1">
      <x:c r="C32" s="2" t="str">
        <x:v>Meses por período</x:v>
      </x:c>
      <x:c r="D32" s="9" t="n">
        <x:v>12</x:v>
      </x:c>
      <x:c r="E32" s="10"/>
      <x:c r="F32" s="10"/>
      <x:c r="G32" s="10"/>
      <x:c r="H32" s="10"/>
      <x:c r="I32" s="10"/>
    </x:row>
    <x:row r="33" ht="23" customHeight="1">
      <x:c r="C33" s="2" t="str">
        <x:v>Data de referência</x:v>
      </x:c>
      <x:c r="D33" s="20" t="n">
        <x:v>46275.5</x:v>
      </x:c>
      <x:c r="E33" s="10"/>
      <x:c r="F33" s="10"/>
      <x:c r="G33" s="10"/>
      <x:c r="H33" s="10"/>
      <x:c r="I33" s="10"/>
    </x:row>
    <x:row r="34" ht="23" customHeight="1">
      <x:c r="C34" s="2"/>
      <x:c r="D34" s="3"/>
      <x:c r="E34" s="3"/>
      <x:c r="F34" s="3"/>
      <x:c r="G34" s="3"/>
      <x:c r="H34" s="3"/>
      <x:c r="I34" s="3"/>
    </x:row>
    <x:row r="35" ht="25" customHeight="1">
      <x:c r="C35" s="14" t="str">
        <x:v>Hipóteses de receita por frente e período de 12 meses</x:v>
      </x:c>
      <x:c r="D35" s="15"/>
      <x:c r="E35" s="15"/>
      <x:c r="F35" s="15"/>
      <x:c r="G35" s="15"/>
      <x:c r="H35" s="15"/>
      <x:c r="I35" s="15"/>
    </x:row>
    <x:row r="36" ht="23" customHeight="1">
      <x:c r="C36" s="2"/>
      <x:c r="D36" s="24" t="str">
        <x:v>Histórico</x:v>
      </x:c>
      <x:c r="E36" s="25" t="n">
        <x:v>46640.5</x:v>
      </x:c>
      <x:c r="F36" s="25" t="n">
        <x:v>47006.5</x:v>
      </x:c>
      <x:c r="G36" s="25" t="n">
        <x:v>47371.5</x:v>
      </x:c>
      <x:c r="H36" s="25" t="n">
        <x:v>47736.5</x:v>
      </x:c>
      <x:c r="I36" s="25" t="n">
        <x:v>48101.5</x:v>
      </x:c>
    </x:row>
    <x:row r="37" ht="23" customHeight="1">
      <x:c r="C37" s="28" t="str">
        <x:v>Publicidade — seleção ativa</x:v>
      </x:c>
      <x:c r="D37" s="30" t="n">
        <x:f>D10</x:f>
        <x:v>70000</x:v>
      </x:c>
      <x:c r="E37" s="30" t="n">
        <x:f>IF(ISNUMBER(CHOOSE($D$6,E38,E39,E40)),CHOOSE($D$6,E38,E39,E40),"n.a.")</x:f>
        <x:v>350000</x:v>
      </x:c>
      <x:c r="F37" s="30" t="n">
        <x:f>IF(ISNUMBER(CHOOSE($D$6,F38,F39,F40)),CHOOSE($D$6,F38,F39,F40),"n.a.")</x:f>
        <x:v>750000</x:v>
      </x:c>
      <x:c r="G37" s="30" t="n">
        <x:f>IF(ISNUMBER(CHOOSE($D$6,G38,G39,G40)),CHOOSE($D$6,G38,G39,G40),"n.a.")</x:f>
        <x:v>1200000</x:v>
      </x:c>
      <x:c r="H37" s="30" t="n">
        <x:f>IF(ISNUMBER(CHOOSE($D$6,H38,H39,H40)),CHOOSE($D$6,H38,H39,H40),"n.a.")</x:f>
        <x:v>1750000</x:v>
      </x:c>
      <x:c r="I37" s="30" t="n">
        <x:f>IF(ISNUMBER(CHOOSE($D$6,I38,I39,I40)),CHOOSE($D$6,I38,I39,I40),"n.a.")</x:f>
        <x:v>2300000</x:v>
      </x:c>
    </x:row>
    <x:row r="38" ht="23" customHeight="1">
      <x:c r="C38" s="2" t="str">
        <x:v>1. Expansão menor</x:v>
      </x:c>
      <x:c r="D38" s="3"/>
      <x:c r="E38" s="16" t="n">
        <x:v>180000</x:v>
      </x:c>
      <x:c r="F38" s="16" t="n">
        <x:v>320000</x:v>
      </x:c>
      <x:c r="G38" s="16" t="n">
        <x:v>550000</x:v>
      </x:c>
      <x:c r="H38" s="16" t="n">
        <x:v>770000</x:v>
      </x:c>
      <x:c r="I38" s="16" t="n">
        <x:v>980000</x:v>
      </x:c>
    </x:row>
    <x:row r="39" ht="23" customHeight="1">
      <x:c r="C39" s="2" t="str">
        <x:v>2. Expansão forte</x:v>
      </x:c>
      <x:c r="D39" s="3"/>
      <x:c r="E39" s="16" t="n">
        <x:v>350000</x:v>
      </x:c>
      <x:c r="F39" s="16" t="n">
        <x:v>750000</x:v>
      </x:c>
      <x:c r="G39" s="16" t="n">
        <x:v>1200000</x:v>
      </x:c>
      <x:c r="H39" s="16" t="n">
        <x:v>1750000</x:v>
      </x:c>
      <x:c r="I39" s="16" t="n">
        <x:v>2300000</x:v>
      </x:c>
    </x:row>
    <x:row r="40" ht="23" customHeight="1">
      <x:c r="C40" s="2" t="str">
        <x:v>3. Expansão muito forte</x:v>
      </x:c>
      <x:c r="D40" s="3"/>
      <x:c r="E40" s="16" t="n">
        <x:v>500000</x:v>
      </x:c>
      <x:c r="F40" s="16" t="n">
        <x:v>1150000</x:v>
      </x:c>
      <x:c r="G40" s="16" t="n">
        <x:v>2100000</x:v>
      </x:c>
      <x:c r="H40" s="16" t="n">
        <x:v>3300000</x:v>
      </x:c>
      <x:c r="I40" s="16" t="n">
        <x:v>4550000</x:v>
      </x:c>
    </x:row>
    <x:row r="41" ht="23" customHeight="1">
      <x:c r="C41" s="2"/>
      <x:c r="D41" s="3"/>
      <x:c r="E41" s="3"/>
      <x:c r="F41" s="3"/>
      <x:c r="G41" s="3"/>
      <x:c r="H41" s="3"/>
      <x:c r="I41" s="3"/>
    </x:row>
    <x:row r="42" ht="23" customHeight="1">
      <x:c r="C42" s="28" t="str">
        <x:v>Assinaturas — seleção ativa</x:v>
      </x:c>
      <x:c r="D42" s="30" t="n">
        <x:f>D11</x:f>
        <x:v>20000</x:v>
      </x:c>
      <x:c r="E42" s="30" t="n">
        <x:f>IF(ISNUMBER(CHOOSE($D$6,E43,E44,E45)),CHOOSE($D$6,E43,E44,E45),"n.a.")</x:f>
        <x:v>50000</x:v>
      </x:c>
      <x:c r="F42" s="30" t="n">
        <x:f>IF(ISNUMBER(CHOOSE($D$6,F43,F44,F45)),CHOOSE($D$6,F43,F44,F45),"n.a.")</x:f>
        <x:v>100000</x:v>
      </x:c>
      <x:c r="G42" s="30" t="n">
        <x:f>IF(ISNUMBER(CHOOSE($D$6,G43,G44,G45)),CHOOSE($D$6,G43,G44,G45),"n.a.")</x:f>
        <x:v>180000</x:v>
      </x:c>
      <x:c r="H42" s="30" t="n">
        <x:f>IF(ISNUMBER(CHOOSE($D$6,H43,H44,H45)),CHOOSE($D$6,H43,H44,H45),"n.a.")</x:f>
        <x:v>250000</x:v>
      </x:c>
      <x:c r="I42" s="30" t="n">
        <x:f>IF(ISNUMBER(CHOOSE($D$6,I43,I44,I45)),CHOOSE($D$6,I43,I44,I45),"n.a.")</x:f>
        <x:v>350000</x:v>
      </x:c>
    </x:row>
    <x:row r="43" ht="23" customHeight="1">
      <x:c r="C43" s="2" t="str">
        <x:v>1. Expansão menor</x:v>
      </x:c>
      <x:c r="D43" s="3"/>
      <x:c r="E43" s="16" t="n">
        <x:v>30000</x:v>
      </x:c>
      <x:c r="F43" s="16" t="n">
        <x:v>60000</x:v>
      </x:c>
      <x:c r="G43" s="16" t="n">
        <x:v>100000</x:v>
      </x:c>
      <x:c r="H43" s="16" t="n">
        <x:v>150000</x:v>
      </x:c>
      <x:c r="I43" s="16" t="n">
        <x:v>200000</x:v>
      </x:c>
    </x:row>
    <x:row r="44" ht="23" customHeight="1">
      <x:c r="C44" s="2" t="str">
        <x:v>2. Expansão forte</x:v>
      </x:c>
      <x:c r="D44" s="3"/>
      <x:c r="E44" s="16" t="n">
        <x:v>50000</x:v>
      </x:c>
      <x:c r="F44" s="16" t="n">
        <x:v>100000</x:v>
      </x:c>
      <x:c r="G44" s="16" t="n">
        <x:v>180000</x:v>
      </x:c>
      <x:c r="H44" s="16" t="n">
        <x:v>250000</x:v>
      </x:c>
      <x:c r="I44" s="16" t="n">
        <x:v>350000</x:v>
      </x:c>
    </x:row>
    <x:row r="45" ht="23" customHeight="1">
      <x:c r="C45" s="2" t="str">
        <x:v>3. Expansão muito forte</x:v>
      </x:c>
      <x:c r="D45" s="3"/>
      <x:c r="E45" s="16" t="n">
        <x:v>70000</x:v>
      </x:c>
      <x:c r="F45" s="16" t="n">
        <x:v>150000</x:v>
      </x:c>
      <x:c r="G45" s="16" t="n">
        <x:v>250000</x:v>
      </x:c>
      <x:c r="H45" s="16" t="n">
        <x:v>400000</x:v>
      </x:c>
      <x:c r="I45" s="16" t="n">
        <x:v>600000</x:v>
      </x:c>
    </x:row>
    <x:row r="46" ht="23" customHeight="1">
      <x:c r="C46" s="2"/>
      <x:c r="D46" s="3"/>
      <x:c r="E46" s="3"/>
      <x:c r="F46" s="3"/>
      <x:c r="G46" s="3"/>
      <x:c r="H46" s="3"/>
      <x:c r="I46" s="3"/>
    </x:row>
    <x:row r="47" ht="23" customHeight="1">
      <x:c r="C47" s="28" t="str">
        <x:v>Serviços — seleção ativa</x:v>
      </x:c>
      <x:c r="D47" s="30" t="n">
        <x:f>D12</x:f>
        <x:v>60000</x:v>
      </x:c>
      <x:c r="E47" s="30" t="n">
        <x:f>IF(ISNUMBER(CHOOSE($D$6,E48,E49,E50)),CHOOSE($D$6,E48,E49,E50),"n.a.")</x:f>
        <x:v>100000</x:v>
      </x:c>
      <x:c r="F47" s="30" t="n">
        <x:f>IF(ISNUMBER(CHOOSE($D$6,F48,F49,F50)),CHOOSE($D$6,F48,F49,F50),"n.a.")</x:f>
        <x:v>150000</x:v>
      </x:c>
      <x:c r="G47" s="30" t="n">
        <x:f>IF(ISNUMBER(CHOOSE($D$6,G48,G49,G50)),CHOOSE($D$6,G48,G49,G50),"n.a.")</x:f>
        <x:v>220000</x:v>
      </x:c>
      <x:c r="H47" s="30" t="n">
        <x:f>IF(ISNUMBER(CHOOSE($D$6,H48,H49,H50)),CHOOSE($D$6,H48,H49,H50),"n.a.")</x:f>
        <x:v>300000</x:v>
      </x:c>
      <x:c r="I47" s="30" t="n">
        <x:f>IF(ISNUMBER(CHOOSE($D$6,I48,I49,I50)),CHOOSE($D$6,I48,I49,I50),"n.a.")</x:f>
        <x:v>350000</x:v>
      </x:c>
    </x:row>
    <x:row r="48" ht="23" customHeight="1">
      <x:c r="C48" s="2" t="str">
        <x:v>1. Expansão menor</x:v>
      </x:c>
      <x:c r="D48" s="3"/>
      <x:c r="E48" s="16" t="n">
        <x:v>90000</x:v>
      </x:c>
      <x:c r="F48" s="16" t="n">
        <x:v>120000</x:v>
      </x:c>
      <x:c r="G48" s="16" t="n">
        <x:v>150000</x:v>
      </x:c>
      <x:c r="H48" s="16" t="n">
        <x:v>180000</x:v>
      </x:c>
      <x:c r="I48" s="16" t="n">
        <x:v>220000</x:v>
      </x:c>
    </x:row>
    <x:row r="49" ht="23" customHeight="1">
      <x:c r="C49" s="2" t="str">
        <x:v>2. Expansão forte</x:v>
      </x:c>
      <x:c r="D49" s="3"/>
      <x:c r="E49" s="16" t="n">
        <x:v>100000</x:v>
      </x:c>
      <x:c r="F49" s="16" t="n">
        <x:v>150000</x:v>
      </x:c>
      <x:c r="G49" s="16" t="n">
        <x:v>220000</x:v>
      </x:c>
      <x:c r="H49" s="16" t="n">
        <x:v>300000</x:v>
      </x:c>
      <x:c r="I49" s="16" t="n">
        <x:v>350000</x:v>
      </x:c>
    </x:row>
    <x:row r="50" ht="23" customHeight="1">
      <x:c r="C50" s="2" t="str">
        <x:v>3. Expansão muito forte</x:v>
      </x:c>
      <x:c r="D50" s="3"/>
      <x:c r="E50" s="16" t="n">
        <x:v>130000</x:v>
      </x:c>
      <x:c r="F50" s="16" t="n">
        <x:v>200000</x:v>
      </x:c>
      <x:c r="G50" s="16" t="n">
        <x:v>250000</x:v>
      </x:c>
      <x:c r="H50" s="16" t="n">
        <x:v>300000</x:v>
      </x:c>
      <x:c r="I50" s="16" t="n">
        <x:v>350000</x:v>
      </x:c>
    </x:row>
    <x:row r="51" ht="23" customHeight="1">
      <x:c r="C51" s="2"/>
      <x:c r="D51" s="3"/>
      <x:c r="E51" s="3"/>
      <x:c r="F51" s="3"/>
      <x:c r="G51" s="3"/>
      <x:c r="H51" s="3"/>
      <x:c r="I51" s="3"/>
    </x:row>
    <x:row r="52" ht="25" customHeight="1">
      <x:c r="C52" s="14" t="str">
        <x:v>Fontes, limites e interpretação</x:v>
      </x:c>
      <x:c r="D52" s="15"/>
      <x:c r="E52" s="15"/>
      <x:c r="F52" s="15"/>
      <x:c r="G52" s="15"/>
      <x:c r="H52" s="15"/>
      <x:c r="I52" s="15"/>
    </x:row>
    <x:row r="53" ht="23" customHeight="1">
      <x:c r="C53" s="2"/>
      <x:c r="D53" s="3"/>
      <x:c r="E53" s="3"/>
      <x:c r="F53" s="3"/>
      <x:c r="G53" s="3"/>
      <x:c r="H53" s="3"/>
      <x:c r="I53" s="3"/>
    </x:row>
    <x:row r="54" ht="23" customHeight="1">
      <x:c r="C54" s="2" t="str">
        <x:v>Fonte dos dados históricos: informações fornecidas pelo sócio nesta conversa. Não conciliadas com DRE ou extratos.</x:v>
      </x:c>
      <x:c r="D54" s="3"/>
      <x:c r="E54" s="3"/>
      <x:c r="F54" s="3"/>
      <x:c r="G54" s="3"/>
      <x:c r="H54" s="3"/>
      <x:c r="I54" s="3"/>
    </x:row>
    <x:row r="55" ht="23" customHeight="1">
      <x:c r="C55" s="2" t="str">
        <x:v>Escopo: RunnerHub, Road Runners e Open Results. Confirmar que a entidade investida possui todos os ativos e receitas.</x:v>
      </x:c>
      <x:c r="D55" s="3"/>
      <x:c r="E55" s="3"/>
      <x:c r="F55" s="3"/>
      <x:c r="G55" s="3"/>
      <x:c r="H55" s="3"/>
      <x:c r="I55" s="3"/>
    </x:row>
    <x:row r="56" ht="23" customHeight="1">
      <x:c r="C56" s="2" t="str">
        <x:v>Receita histórica tratada como os últimos 12 meses, conforme a pergunta respondida. Renovação de assinaturas não garantida.</x:v>
      </x:c>
      <x:c r="D56" s="3"/>
      <x:c r="E56" s="3"/>
      <x:c r="F56" s="3"/>
      <x:c r="G56" s="3"/>
      <x:c r="H56" s="3"/>
      <x:c r="I56" s="3"/>
    </x:row>
    <x:row r="57" ht="23" customHeight="1">
      <x:c r="C57" s="2" t="str">
        <x:v>Transmissões de cerca de R$ 30 mil e campanhas previstas foram relatadas sem volume contratado. Não são contratos firmes.</x:v>
      </x:c>
      <x:c r="D57" s="3"/>
      <x:c r="E57" s="3"/>
      <x:c r="F57" s="3"/>
      <x:c r="G57" s="3"/>
      <x:c r="H57" s="3"/>
      <x:c r="I57" s="3"/>
    </x:row>
    <x:row r="58" ht="23" customHeight="1">
      <x:c r="C58" s="2" t="str">
        <x:v>A data de referência organiza os períodos. Nenhum crescimento foi inferido de tráfego, usuários ou contratos inexistentes.</x:v>
      </x:c>
      <x:c r="D58" s="3"/>
      <x:c r="E58" s="3"/>
      <x:c r="F58" s="3"/>
      <x:c r="G58" s="3"/>
      <x:c r="H58" s="3"/>
      <x:c r="I58" s="3"/>
    </x:row>
    <x:row r="59" ht="23" customHeight="1">
      <x:c r="C59" s="2" t="str">
        <x:v>O modelo projeta receitas por hipóteses próprias e remunera integralmente o trabalho dos sócios desde o Ano 1.</x:v>
      </x:c>
      <x:c r="D59" s="3"/>
      <x:c r="E59" s="3"/>
      <x:c r="F59" s="3"/>
      <x:c r="G59" s="3"/>
      <x:c r="H59" s="3"/>
      <x:c r="I59" s="3"/>
    </x:row>
    <x:row r="60" ht="23" customHeight="1">
      <x:c r="C60" s="2" t="str">
        <x:v>O fluxo livre desconta custos, provisão tributária, investimento e capital de giro. Desconto ao fim de cada período.</x:v>
      </x:c>
      <x:c r="D60" s="3"/>
      <x:c r="E60" s="3"/>
      <x:c r="F60" s="3"/>
      <x:c r="G60" s="3"/>
      <x:c r="H60" s="3"/>
      <x:c r="I60" s="3"/>
    </x:row>
    <x:row r="61" ht="23" customHeight="1">
      <x:c r="C61" s="2" t="str">
        <x:v>A mídia não entra como caixa, receita ou acréscimo automático ao valuation. Não há mensuração de seu efeito incremental.</x:v>
      </x:c>
      <x:c r="D61" s="3"/>
      <x:c r="E61" s="3"/>
      <x:c r="F61" s="3"/>
      <x:c r="G61" s="3"/>
      <x:c r="H61" s="3"/>
      <x:c r="I61" s="3"/>
    </x:row>
    <x:row r="62" ht="23" customHeight="1">
      <x:c r="C62" s="2" t="str">
        <x:v>O valor terminal usa EBITDA do Ano 5. O cenário com valor negativo não significa que ativos e opções valham zero.</x:v>
      </x:c>
      <x:c r="D62" s="3"/>
      <x:c r="E62" s="3"/>
      <x:c r="F62" s="3"/>
      <x:c r="G62" s="3"/>
      <x:c r="H62" s="3"/>
      <x:c r="I62" s="3"/>
    </x:row>
    <x:row r="63" ht="23" customHeight="1">
      <x:c r="C63" s="2" t="str">
        <x:v>Metodologia de crescimento, margens e reinvestimento: Damodaran / NYU Stern.</x:v>
      </x:c>
      <x:c r="D63" s="3"/>
      <x:c r="E63" s="3"/>
      <x:c r="F63" s="3"/>
      <x:c r="G63" s="3"/>
      <x:c r="H63" s="3"/>
      <x:c r="I63" s="3"/>
    </x:row>
    <x:row r="64" ht="23" customHeight="1">
      <x:c r="C64" s="2" t="str">
        <x:v>https://pages.stern.nyu.edu/~adamodar/New_Home_Page/littlebook/younggrowthvaluedrivers.htm</x:v>
      </x:c>
      <x:c r="D64" s="3"/>
      <x:c r="E64" s="3"/>
      <x:c r="F64" s="3"/>
      <x:c r="G64" s="3"/>
      <x:c r="H64" s="3"/>
      <x:c r="I64" s="3"/>
    </x:row>
    <x:row r="65" ht="23" customHeight="1">
      <x:c r="C65" s="2" t="str">
        <x:v>Fórmula de diluição em rodada simples: aporte / (valor societário antes do aporte + aporte). Fonte: Carta.</x:v>
      </x:c>
      <x:c r="D65" s="3"/>
      <x:c r="E65" s="3"/>
      <x:c r="F65" s="3"/>
      <x:c r="G65" s="3"/>
      <x:c r="H65" s="3"/>
      <x:c r="I65" s="3"/>
    </x:row>
    <x:row r="66" ht="23" customHeight="1">
      <x:c r="C66" s="2" t="str">
        <x:v>https://carta.com/learn/startups/equity-management/private-company-valuations/pre-money-vs-post-money-valuations/</x:v>
      </x:c>
      <x:c r="D66" s="3"/>
      <x:c r="E66" s="3"/>
      <x:c r="F66" s="3"/>
      <x:c r="G66" s="3"/>
      <x:c r="H66" s="3"/>
      <x:c r="I66" s="3"/>
    </x:row>
    <x:row r="67" ht="23" customHeight="1">
      <x:c r="C67" s="2" t="str">
        <x:v>Os parâmetros 40%, 4x e demais percentuais são hipóteses de simulação; não são benchmarks pesquisados da RunnerHub.</x:v>
      </x:c>
      <x:c r="D67" s="3"/>
      <x:c r="E67" s="3"/>
      <x:c r="F67" s="3"/>
      <x:c r="G67" s="3"/>
      <x:c r="H67" s="3"/>
      <x:c r="I67" s="3"/>
    </x:row>
    <x:row r="68" ht="23" customHeight="1">
      <x:c r="C68" s="2"/>
      <x:c r="D68" s="3"/>
      <x:c r="E68" s="3"/>
      <x:c r="F68" s="3"/>
      <x:c r="G68" s="3"/>
      <x:c r="H68" s="3"/>
      <x:c r="I68" s="3"/>
    </x:row>
    <x:row r="69" ht="23" customHeight="1">
      <x:c r="C69" s="2"/>
      <x:c r="D69" s="3"/>
      <x:c r="E69" s="3"/>
      <x:c r="F69" s="3"/>
      <x:c r="G69" s="3"/>
      <x:c r="H69" s="3"/>
      <x:c r="I69" s="3"/>
    </x:row>
    <x:row r="70" ht="23" customHeight="1">
      <x:c r="C70" s="2"/>
      <x:c r="D70" s="3"/>
      <x:c r="E70" s="3"/>
      <x:c r="F70" s="3"/>
      <x:c r="G70" s="3"/>
      <x:c r="H70" s="3"/>
      <x:c r="I70" s="3"/>
    </x:row>
  </x:sheetData>
  <x:dataValidations count="1">
    <x:dataValidation type="whole" operator="between" sqref="D6">
      <x:formula1>1</x:formula1>
      <x:formula2>3</x:formula2>
    </x:dataValidation>
  </x:dataValidations>
  <x:pageMargins left="0.7" right="0.7" top="0.75" bottom="0.75" header="0.3" footer="0.3"/>
</x:worksheet>
</file>